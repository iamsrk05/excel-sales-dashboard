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2b0c28d632011d/Desktop/Almarjuk/"/>
    </mc:Choice>
  </mc:AlternateContent>
  <xr:revisionPtr revIDLastSave="0" documentId="8_{5C0D0812-AF8B-41E0-8252-6B10DA07D86F}" xr6:coauthVersionLast="47" xr6:coauthVersionMax="47" xr10:uidLastSave="{00000000-0000-0000-0000-000000000000}"/>
  <bookViews>
    <workbookView xWindow="-108" yWindow="-108" windowWidth="23256" windowHeight="12456" xr2:uid="{1E574074-29D6-4993-83B8-665BC0A80952}"/>
  </bookViews>
  <sheets>
    <sheet name="weekly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2" i="1"/>
  <c r="H2" i="1" a="1"/>
  <c r="H2" i="1" s="1"/>
  <c r="K2" i="1" s="1"/>
  <c r="I7" i="1" l="1"/>
  <c r="Q7" i="1" s="1"/>
  <c r="I8" i="1"/>
  <c r="Q8" i="1" s="1"/>
  <c r="I6" i="1"/>
  <c r="Q6" i="1" s="1"/>
  <c r="I2" i="1"/>
  <c r="Q2" i="1" s="1"/>
  <c r="I5" i="1"/>
  <c r="Q5" i="1" s="1"/>
  <c r="I4" i="1"/>
  <c r="Q4" i="1" s="1"/>
  <c r="I3" i="1"/>
  <c r="Q3" i="1" s="1"/>
  <c r="O4" i="1"/>
  <c r="J2" i="1" a="1"/>
  <c r="J2" i="1" s="1"/>
  <c r="K8" i="1"/>
  <c r="N5" i="1"/>
  <c r="O3" i="1"/>
  <c r="J8" i="1" a="1"/>
  <c r="J8" i="1" s="1"/>
  <c r="K7" i="1"/>
  <c r="N4" i="1"/>
  <c r="J7" i="1" a="1"/>
  <c r="J7" i="1" s="1"/>
  <c r="K6" i="1"/>
  <c r="N3" i="1"/>
  <c r="O8" i="1"/>
  <c r="M8" i="1"/>
  <c r="J6" i="1" a="1"/>
  <c r="J6" i="1" s="1"/>
  <c r="K5" i="1"/>
  <c r="N7" i="1"/>
  <c r="J5" i="1" a="1"/>
  <c r="J5" i="1" s="1"/>
  <c r="K4" i="1"/>
  <c r="O2" i="1"/>
  <c r="O7" i="1"/>
  <c r="J3" i="1" a="1"/>
  <c r="J3" i="1" s="1"/>
  <c r="N2" i="1"/>
  <c r="J4" i="1" a="1"/>
  <c r="J4" i="1" s="1"/>
  <c r="K3" i="1"/>
  <c r="O6" i="1"/>
  <c r="O5" i="1"/>
  <c r="M3" i="1"/>
  <c r="P3" i="1" s="1"/>
  <c r="N6" i="1"/>
  <c r="L8" i="1" a="1"/>
  <c r="L8" i="1" s="1"/>
  <c r="L3" i="1" a="1"/>
  <c r="L3" i="1" s="1"/>
  <c r="L2" i="1" a="1"/>
  <c r="L2" i="1" s="1"/>
  <c r="L7" i="1" a="1"/>
  <c r="L7" i="1" s="1"/>
  <c r="L6" i="1" a="1"/>
  <c r="L6" i="1" s="1"/>
  <c r="L5" i="1" a="1"/>
  <c r="L5" i="1" s="1"/>
  <c r="L4" i="1" a="1"/>
  <c r="L4" i="1" s="1"/>
  <c r="M4" i="1" l="1"/>
  <c r="P4" i="1" s="1"/>
  <c r="M2" i="1"/>
  <c r="S4" i="1"/>
  <c r="S2" i="1"/>
  <c r="M5" i="1"/>
  <c r="M7" i="1"/>
  <c r="P7" i="1" s="1"/>
  <c r="M6" i="1"/>
  <c r="P6" i="1" s="1"/>
  <c r="P2" i="1"/>
  <c r="P5" i="1"/>
  <c r="P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<sst xmlns="http://schemas.openxmlformats.org/spreadsheetml/2006/main" count="170" uniqueCount="49">
  <si>
    <t>oilName</t>
  </si>
  <si>
    <t>usageDescription</t>
  </si>
  <si>
    <t>quantity</t>
  </si>
  <si>
    <t>exportCompanyName</t>
  </si>
  <si>
    <t>exportDate</t>
  </si>
  <si>
    <t>Gasoline</t>
  </si>
  <si>
    <t>Motor gasoline for internal combustion engines</t>
  </si>
  <si>
    <t>Australia</t>
  </si>
  <si>
    <t>AUS Energy Pty</t>
  </si>
  <si>
    <t>Norway</t>
  </si>
  <si>
    <t>Norway Oil Export</t>
  </si>
  <si>
    <t>Turkey</t>
  </si>
  <si>
    <t>Turkish Energy A.S.</t>
  </si>
  <si>
    <t>Jordan</t>
  </si>
  <si>
    <t>Jordan Petroleum Co</t>
  </si>
  <si>
    <t>South Korea</t>
  </si>
  <si>
    <t>Korea Energy Corp</t>
  </si>
  <si>
    <t>Japan</t>
  </si>
  <si>
    <t>Japan Oil Trading</t>
  </si>
  <si>
    <t>Diesel</t>
  </si>
  <si>
    <t>Heavy-duty vehicles and heating</t>
  </si>
  <si>
    <t>China</t>
  </si>
  <si>
    <t>China Petro Export</t>
  </si>
  <si>
    <t>Jet Fuel</t>
  </si>
  <si>
    <t>Aviation kerosene fuel</t>
  </si>
  <si>
    <t>Sino Export Ltd</t>
  </si>
  <si>
    <t>Heating Oil</t>
  </si>
  <si>
    <t>Residential and industrial heating</t>
  </si>
  <si>
    <t>LPG</t>
  </si>
  <si>
    <t>Liquefied petroleum gas â€“ propane and butane</t>
  </si>
  <si>
    <t>Refinery Gas</t>
  </si>
  <si>
    <t>Used within refinery process</t>
  </si>
  <si>
    <t>CompanyAbbreviation</t>
  </si>
  <si>
    <t>Country</t>
  </si>
  <si>
    <t>Companies</t>
  </si>
  <si>
    <t>Start Date</t>
  </si>
  <si>
    <t>End Date</t>
  </si>
  <si>
    <t xml:space="preserve">Country </t>
  </si>
  <si>
    <t>BarrelPrice</t>
  </si>
  <si>
    <t>GST</t>
  </si>
  <si>
    <t>Customs</t>
  </si>
  <si>
    <t>TotalPrice</t>
  </si>
  <si>
    <t>Total  quantity per country</t>
  </si>
  <si>
    <t>Revenue</t>
  </si>
  <si>
    <t>Total Revenue table</t>
  </si>
  <si>
    <t>Total Revenue:</t>
  </si>
  <si>
    <t>Total Expenses:</t>
  </si>
  <si>
    <t>Profit:</t>
  </si>
  <si>
    <t>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</si>
</sst>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16" fillId="0" borderId="0" xfId="0" applyFont="1" applyAlignment="1">
      <alignment horizontal="left" vertical="center"/>
    </xf>
    <xf numFmtId="14" fontId="16" fillId="0" borderId="0" xfId="0" applyNumberFormat="1" applyFont="1" applyAlignment="1">
      <alignment horizontal="left" vertical="center"/>
    </xf>
    <xf numFmtId="10" fontId="16" fillId="0" borderId="0" xfId="0" applyNumberFormat="1" applyFont="1" applyAlignment="1">
      <alignment horizontal="left" vertical="center"/>
    </xf>
    <xf numFmtId="43" fontId="16" fillId="0" borderId="0" xfId="42" applyFont="1" applyAlignment="1">
      <alignment horizontal="left" vertical="center"/>
    </xf>
    <xf numFmtId="43" fontId="0" fillId="0" borderId="0" xfId="42" applyFont="1" applyAlignment="1">
      <alignment horizontal="left" vertical="center"/>
    </xf>
    <xf numFmtId="10" fontId="18" fillId="0" borderId="0" xfId="0" applyNumberFormat="1" applyFont="1" applyAlignment="1">
      <alignment horizontal="left" vertical="center"/>
    </xf>
    <xf numFmtId="0" fontId="16" fillId="33" borderId="0" xfId="0" applyFont="1" applyFill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Export Quantity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weekly_report!$I$1</c:f>
              <c:strCache>
                <c:ptCount val="1"/>
                <c:pt idx="0">
                  <c:v> Total  quantity per country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weekly_report!$H$2:$H$7</c:f>
              <c:strCache>
                <c:ptCount val="6"/>
                <c:pt idx="0">
                  <c:v>Australia</c:v>
                </c:pt>
                <c:pt idx="1">
                  <c:v>China</c:v>
                </c:pt>
                <c:pt idx="2">
                  <c:v>Japan</c:v>
                </c:pt>
                <c:pt idx="3">
                  <c:v>Jordan</c:v>
                </c:pt>
                <c:pt idx="4">
                  <c:v>Norway</c:v>
                </c:pt>
                <c:pt idx="5">
                  <c:v>South Korea</c:v>
                </c:pt>
              </c:strCache>
            </c:strRef>
          </c:cat>
          <c:val>
            <c:numRef>
              <c:f>weekly_report!$I$2:$I$7</c:f>
              <c:numCache>
                <c:formatCode>_(* #,##0.00_);_(* \(#,##0.00\);_(* "-"??_);_(@_)</c:formatCode>
                <c:ptCount val="6"/>
                <c:pt idx="0">
                  <c:v>4160000</c:v>
                </c:pt>
                <c:pt idx="1">
                  <c:v>3470000</c:v>
                </c:pt>
                <c:pt idx="2">
                  <c:v>3360000</c:v>
                </c:pt>
                <c:pt idx="3">
                  <c:v>3290000</c:v>
                </c:pt>
                <c:pt idx="4">
                  <c:v>4130299</c:v>
                </c:pt>
                <c:pt idx="5">
                  <c:v>3570000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3-4A4E-8F6E-D14B62494F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40842543"/>
        <c:axId val="1740843023"/>
      </c:barChart>
      <c:catAx>
        <c:axId val="1740842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Country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843023"/>
        <c:crosses val="autoZero"/>
        <c:auto val="1"/>
        <c:lblAlgn val="ctr"/>
        <c:lblOffset val="100"/>
        <c:noMultiLvlLbl val="0"/>
      </c:catAx>
      <c:valAx>
        <c:axId val="174084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Quantity (Barrels)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84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221059072912448"/>
          <c:y val="8.1515748031496055E-2"/>
          <c:w val="6.3590623285710884E-2"/>
          <c:h val="0.51794036162146395"/>
        </c:manualLayout>
      </c:layout>
      <c:overlay val="0"/>
      <c:spPr>
        <a:noFill/>
        <a:ln>
          <a:noFill/>
        </a:ln>
        <a:effectLst/>
      </c:spPr>
      <c:txPr>
        <a:bodyPr rot="5400000" spcFirstLastPara="1" vertOverflow="ellipsis" wrap="square" anchor="ctr" anchorCtr="0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Export Quantity Distribution by Country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311723534558181"/>
          <c:y val="0.24724409448818899"/>
          <c:w val="0.42543241469816273"/>
          <c:h val="0.70905402449693788"/>
        </c:manualLayout>
      </c:layout>
      <c:pieChart>
        <c:varyColors val="1"/>
        <c:ser>
          <c:idx val="0"/>
          <c:order val="0"/>
          <c:tx>
            <c:strRef>
              <c:f>weekly_report!$I$1</c:f>
              <c:strCache>
                <c:ptCount val="1"/>
                <c:pt idx="0">
                  <c:v> Total  quantity per country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1A-4135-A3D9-C6AE7CC853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1A-4135-A3D9-C6AE7CC853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1A-4135-A3D9-C6AE7CC853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6A-4C33-B133-B373F7151E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1A-4135-A3D9-C6AE7CC853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1A-4135-A3D9-C6AE7CC8531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C1A-4135-A3D9-C6AE7CC8531E}"/>
              </c:ext>
            </c:extLst>
          </c:dPt>
          <c:dLbls>
            <c:dLbl>
              <c:idx val="2"/>
              <c:layout>
                <c:manualLayout>
                  <c:x val="-0.11905144607989888"/>
                  <c:y val="-0.13687624234590701"/>
                </c:manualLayout>
              </c:layout>
              <c:tx>
                <c:rich>
                  <a:bodyPr/>
                  <a:lstStyle/>
                  <a:p>
                    <a:fld id="{60EB2294-3755-4C5A-A9C3-7C93A7E3A90B}" type="VALUE">
                      <a:rPr lang="en-US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  <a:p>
                    <a:fld id="{0864B158-3407-4D35-AA6D-4D28C1BAF644}" type="PERCENTAGE">
                      <a:rPr lang="en-US" baseline="0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C1A-4135-A3D9-C6AE7CC8531E}"/>
                </c:ext>
              </c:extLst>
            </c:dLbl>
            <c:dLbl>
              <c:idx val="3"/>
              <c:layout>
                <c:manualLayout>
                  <c:x val="-4.3144504862387047E-3"/>
                  <c:y val="-2.654441794187693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7FCBAE4-DA8D-4EA8-B837-776DABBD94A6}" type="VALUE">
                      <a:rPr lang="en-US" sz="800"/>
                      <a:pPr>
                        <a:defRPr sz="800"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[VALUE]</a:t>
                    </a:fld>
                    <a:r>
                      <a:rPr lang="en-US" sz="800" baseline="0"/>
                      <a:t>,</a:t>
                    </a:r>
                  </a:p>
                  <a:p>
                    <a:pPr>
                      <a:defRPr sz="800">
                        <a:solidFill>
                          <a:schemeClr val="bg1">
                            <a:lumMod val="95000"/>
                          </a:schemeClr>
                        </a:solidFill>
                      </a:defRPr>
                    </a:pPr>
                    <a:r>
                      <a:rPr lang="en-US" sz="800" baseline="0"/>
                      <a:t> </a:t>
                    </a:r>
                    <a:fld id="{2392C996-5C7B-4489-AB62-8CC8E22A3444}" type="PERCENTAGE">
                      <a:rPr lang="en-US" sz="800" baseline="0"/>
                      <a:pPr>
                        <a:defRPr sz="800"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[PERCENTAGE]</a:t>
                    </a:fld>
                    <a:endParaRPr lang="en-US" sz="8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82897814811337"/>
                      <c:h val="0.162058349569149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C6A-4C33-B133-B373F7151ECC}"/>
                </c:ext>
              </c:extLst>
            </c:dLbl>
            <c:dLbl>
              <c:idx val="5"/>
              <c:layout>
                <c:manualLayout>
                  <c:x val="0.14683694163115599"/>
                  <c:y val="6.7162028027287046E-2"/>
                </c:manualLayout>
              </c:layout>
              <c:tx>
                <c:rich>
                  <a:bodyPr/>
                  <a:lstStyle/>
                  <a:p>
                    <a:fld id="{903C54BB-416E-4AF9-B194-4FC3CEEAE8AD}" type="VALUE">
                      <a:rPr lang="en-US"/>
                      <a:pPr/>
                      <a:t>[VALUE]</a:t>
                    </a:fld>
                    <a:r>
                      <a:rPr lang="en-US" baseline="0"/>
                      <a:t>,</a:t>
                    </a:r>
                  </a:p>
                  <a:p>
                    <a:r>
                      <a:rPr lang="en-US" baseline="0"/>
                      <a:t> </a:t>
                    </a:r>
                    <a:fld id="{9316FF0C-A117-4355-A1EE-3F20A4F39BCE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5C1A-4135-A3D9-C6AE7CC8531E}"/>
                </c:ext>
              </c:extLst>
            </c:dLbl>
            <c:dLbl>
              <c:idx val="6"/>
              <c:layout>
                <c:manualLayout>
                  <c:x val="8.9882228770419861E-2"/>
                  <c:y val="0.17682201295382505"/>
                </c:manualLayout>
              </c:layout>
              <c:tx>
                <c:rich>
                  <a:bodyPr/>
                  <a:lstStyle/>
                  <a:p>
                    <a:fld id="{E7F4AB8C-4ED0-41D5-9A00-52E98255E1F0}" type="VALUE">
                      <a:rPr lang="en-US"/>
                      <a:pPr/>
                      <a:t>[VALUE]</a:t>
                    </a:fld>
                    <a:r>
                      <a:rPr lang="en-US" baseline="0"/>
                      <a:t>,</a:t>
                    </a:r>
                  </a:p>
                  <a:p>
                    <a:r>
                      <a:rPr lang="en-US" baseline="0"/>
                      <a:t> </a:t>
                    </a:r>
                    <a:fld id="{A85F6D4F-4696-476C-98F2-5FA17AD0AE3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5C1A-4135-A3D9-C6AE7CC853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weekly_report!$H$2:$H$38</c15:sqref>
                  </c15:fullRef>
                </c:ext>
              </c:extLst>
              <c:f>weekly_report!$H$2:$H$8</c:f>
              <c:strCache>
                <c:ptCount val="7"/>
                <c:pt idx="0">
                  <c:v>Australia</c:v>
                </c:pt>
                <c:pt idx="1">
                  <c:v>China</c:v>
                </c:pt>
                <c:pt idx="2">
                  <c:v>Japan</c:v>
                </c:pt>
                <c:pt idx="3">
                  <c:v>Jordan</c:v>
                </c:pt>
                <c:pt idx="4">
                  <c:v>Norway</c:v>
                </c:pt>
                <c:pt idx="5">
                  <c:v>South Korea</c:v>
                </c:pt>
                <c:pt idx="6">
                  <c:v>Turkey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weekly_report!$I$2:$I$38</c15:sqref>
                  </c15:fullRef>
                </c:ext>
              </c:extLst>
              <c:f>weekly_report!$I$2:$I$8</c:f>
              <c:numCache>
                <c:formatCode>_(* #,##0.00_);_(* \(#,##0.00\);_(* "-"??_);_(@_)</c:formatCode>
                <c:ptCount val="7"/>
                <c:pt idx="0">
                  <c:v>4160000</c:v>
                </c:pt>
                <c:pt idx="1">
                  <c:v>3470000</c:v>
                </c:pt>
                <c:pt idx="2">
                  <c:v>3360000</c:v>
                </c:pt>
                <c:pt idx="3">
                  <c:v>3290000</c:v>
                </c:pt>
                <c:pt idx="4">
                  <c:v>4130299</c:v>
                </c:pt>
                <c:pt idx="5">
                  <c:v>3570000</c:v>
                </c:pt>
                <c:pt idx="6">
                  <c:v>3530000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CC6A-4C33-B133-B373F7151EC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weekly_report!$Q$1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1840794402538681E-17"/>
                  <c:y val="8.432464590288436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7E-4E71-973D-9E878DFEE375}"/>
                </c:ext>
              </c:extLst>
            </c:dLbl>
            <c:dLbl>
              <c:idx val="1"/>
              <c:layout>
                <c:manualLayout>
                  <c:x val="-4.3681588805077362E-17"/>
                  <c:y val="-1.26486968854326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7E-4E71-973D-9E878DFEE375}"/>
                </c:ext>
              </c:extLst>
            </c:dLbl>
            <c:dLbl>
              <c:idx val="2"/>
              <c:layout>
                <c:manualLayout>
                  <c:x val="-7.1479789230303381E-3"/>
                  <c:y val="1.26486968854326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7E-4E71-973D-9E878DFEE375}"/>
                </c:ext>
              </c:extLst>
            </c:dLbl>
            <c:dLbl>
              <c:idx val="3"/>
              <c:layout>
                <c:manualLayout>
                  <c:x val="1.1913298205050478E-2"/>
                  <c:y val="4.216232295144186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84562879513592"/>
                      <c:h val="5.89641746409894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77E-4E71-973D-9E878DFEE375}"/>
                </c:ext>
              </c:extLst>
            </c:dLbl>
            <c:dLbl>
              <c:idx val="5"/>
              <c:layout>
                <c:manualLayout>
                  <c:x val="0"/>
                  <c:y val="-1.68649291805769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7E-4E71-973D-9E878DFEE375}"/>
                </c:ext>
              </c:extLst>
            </c:dLbl>
            <c:dLbl>
              <c:idx val="6"/>
              <c:layout>
                <c:manualLayout>
                  <c:x val="2.3826596410101127E-3"/>
                  <c:y val="1.26486968854326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7E-4E71-973D-9E878DFEE3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weekly_report!$H$2:$H$38</c15:sqref>
                  </c15:fullRef>
                </c:ext>
              </c:extLst>
              <c:f>weekly_report!$H$2:$H$8</c:f>
              <c:strCache>
                <c:ptCount val="7"/>
                <c:pt idx="0">
                  <c:v>Australia</c:v>
                </c:pt>
                <c:pt idx="1">
                  <c:v>China</c:v>
                </c:pt>
                <c:pt idx="2">
                  <c:v>Japan</c:v>
                </c:pt>
                <c:pt idx="3">
                  <c:v>Jordan</c:v>
                </c:pt>
                <c:pt idx="4">
                  <c:v>Norway</c:v>
                </c:pt>
                <c:pt idx="5">
                  <c:v>South Korea</c:v>
                </c:pt>
                <c:pt idx="6">
                  <c:v>Turkey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weekly_report!$Q$2:$Q$38</c15:sqref>
                  </c15:fullRef>
                </c:ext>
              </c:extLst>
              <c:f>weekly_report!$Q$2:$Q$8</c:f>
              <c:numCache>
                <c:formatCode>_(* #,##0.00_);_(* \(#,##0.00\);_(* "-"??_);_(@_)</c:formatCode>
                <c:ptCount val="7"/>
                <c:pt idx="0">
                  <c:v>266240000</c:v>
                </c:pt>
                <c:pt idx="1">
                  <c:v>222080000</c:v>
                </c:pt>
                <c:pt idx="2">
                  <c:v>215040000</c:v>
                </c:pt>
                <c:pt idx="3">
                  <c:v>210560000</c:v>
                </c:pt>
                <c:pt idx="4">
                  <c:v>264339136</c:v>
                </c:pt>
                <c:pt idx="5">
                  <c:v>228480000</c:v>
                </c:pt>
                <c:pt idx="6">
                  <c:v>225920000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E-4E71-973D-9E878DFEE3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1946258671"/>
        <c:axId val="1946254351"/>
      </c:barChart>
      <c:catAx>
        <c:axId val="1946258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254351"/>
        <c:crosses val="autoZero"/>
        <c:auto val="1"/>
        <c:lblAlgn val="ctr"/>
        <c:lblOffset val="100"/>
        <c:noMultiLvlLbl val="0"/>
      </c:catAx>
      <c:valAx>
        <c:axId val="194625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25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weekly_report!$Q$1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94E-4FB0-9A86-9EE9453C61F6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4E-4FB0-9A86-9EE9453C61F6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94E-4FB0-9A86-9EE9453C61F6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94E-4FB0-9A86-9EE9453C61F6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4E-4FB0-9A86-9EE9453C61F6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4E-4FB0-9A86-9EE9453C61F6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4E-4FB0-9A86-9EE9453C61F6}"/>
              </c:ext>
            </c:extLst>
          </c:dPt>
          <c:dPt>
            <c:idx val="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32C-495C-9FA7-F1582CE27AE6}"/>
              </c:ext>
            </c:extLst>
          </c:dPt>
          <c:dPt>
            <c:idx val="8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32C-495C-9FA7-F1582CE27AE6}"/>
              </c:ext>
            </c:extLst>
          </c:dPt>
          <c:dPt>
            <c:idx val="9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32C-495C-9FA7-F1582CE27AE6}"/>
              </c:ext>
            </c:extLst>
          </c:dPt>
          <c:dPt>
            <c:idx val="1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32C-495C-9FA7-F1582CE27AE6}"/>
              </c:ext>
            </c:extLst>
          </c:dPt>
          <c:dPt>
            <c:idx val="1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32C-495C-9FA7-F1582CE27AE6}"/>
              </c:ext>
            </c:extLst>
          </c:dPt>
          <c:dPt>
            <c:idx val="1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32C-495C-9FA7-F1582CE27AE6}"/>
              </c:ext>
            </c:extLst>
          </c:dPt>
          <c:dPt>
            <c:idx val="1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32C-495C-9FA7-F1582CE27AE6}"/>
              </c:ext>
            </c:extLst>
          </c:dPt>
          <c:dPt>
            <c:idx val="1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32C-495C-9FA7-F1582CE27AE6}"/>
              </c:ext>
            </c:extLst>
          </c:dPt>
          <c:dPt>
            <c:idx val="1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32C-495C-9FA7-F1582CE27AE6}"/>
              </c:ext>
            </c:extLst>
          </c:dPt>
          <c:dPt>
            <c:idx val="1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32C-495C-9FA7-F1582CE27AE6}"/>
              </c:ext>
            </c:extLst>
          </c:dPt>
          <c:dPt>
            <c:idx val="1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32C-495C-9FA7-F1582CE27AE6}"/>
              </c:ext>
            </c:extLst>
          </c:dPt>
          <c:dPt>
            <c:idx val="18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32C-495C-9FA7-F1582CE27AE6}"/>
              </c:ext>
            </c:extLst>
          </c:dPt>
          <c:dPt>
            <c:idx val="19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32C-495C-9FA7-F1582CE27AE6}"/>
              </c:ext>
            </c:extLst>
          </c:dPt>
          <c:dPt>
            <c:idx val="2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932C-495C-9FA7-F1582CE27AE6}"/>
              </c:ext>
            </c:extLst>
          </c:dPt>
          <c:dPt>
            <c:idx val="2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32C-495C-9FA7-F1582CE27AE6}"/>
              </c:ext>
            </c:extLst>
          </c:dPt>
          <c:dPt>
            <c:idx val="2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932C-495C-9FA7-F1582CE27AE6}"/>
              </c:ext>
            </c:extLst>
          </c:dPt>
          <c:dPt>
            <c:idx val="2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932C-495C-9FA7-F1582CE27AE6}"/>
              </c:ext>
            </c:extLst>
          </c:dPt>
          <c:dPt>
            <c:idx val="2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932C-495C-9FA7-F1582CE27AE6}"/>
              </c:ext>
            </c:extLst>
          </c:dPt>
          <c:dPt>
            <c:idx val="2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932C-495C-9FA7-F1582CE27AE6}"/>
              </c:ext>
            </c:extLst>
          </c:dPt>
          <c:dPt>
            <c:idx val="2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932C-495C-9FA7-F1582CE27AE6}"/>
              </c:ext>
            </c:extLst>
          </c:dPt>
          <c:dPt>
            <c:idx val="2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932C-495C-9FA7-F1582CE27AE6}"/>
              </c:ext>
            </c:extLst>
          </c:dPt>
          <c:dPt>
            <c:idx val="28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932C-495C-9FA7-F1582CE27AE6}"/>
              </c:ext>
            </c:extLst>
          </c:dPt>
          <c:dPt>
            <c:idx val="29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932C-495C-9FA7-F1582CE27AE6}"/>
              </c:ext>
            </c:extLst>
          </c:dPt>
          <c:dPt>
            <c:idx val="3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932C-495C-9FA7-F1582CE27AE6}"/>
              </c:ext>
            </c:extLst>
          </c:dPt>
          <c:dPt>
            <c:idx val="3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932C-495C-9FA7-F1582CE27AE6}"/>
              </c:ext>
            </c:extLst>
          </c:dPt>
          <c:dPt>
            <c:idx val="3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932C-495C-9FA7-F1582CE27AE6}"/>
              </c:ext>
            </c:extLst>
          </c:dPt>
          <c:dPt>
            <c:idx val="3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932C-495C-9FA7-F1582CE27AE6}"/>
              </c:ext>
            </c:extLst>
          </c:dPt>
          <c:dPt>
            <c:idx val="3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932C-495C-9FA7-F1582CE27AE6}"/>
              </c:ext>
            </c:extLst>
          </c:dPt>
          <c:dPt>
            <c:idx val="3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932C-495C-9FA7-F1582CE27AE6}"/>
              </c:ext>
            </c:extLst>
          </c:dPt>
          <c:dPt>
            <c:idx val="3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932C-495C-9FA7-F1582CE27AE6}"/>
              </c:ext>
            </c:extLst>
          </c:dPt>
          <c:dLbls>
            <c:dLbl>
              <c:idx val="0"/>
              <c:layout>
                <c:manualLayout>
                  <c:x val="-0.10393774907681105"/>
                  <c:y val="0.18920209763039889"/>
                </c:manualLayout>
              </c:layout>
              <c:tx>
                <c:rich>
                  <a:bodyPr/>
                  <a:lstStyle/>
                  <a:p>
                    <a:fld id="{3E9C1635-D557-4A72-A63D-EA0A80268C48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0568947E-438B-4364-983A-15A7B6FFED33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</a:t>
                    </a:r>
                  </a:p>
                  <a:p>
                    <a:r>
                      <a:rPr lang="en-US" baseline="0"/>
                      <a:t> </a:t>
                    </a:r>
                    <a:fld id="{BA3817F8-51B4-49C0-A217-941304040EEE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94E-4FB0-9A86-9EE9453C61F6}"/>
                </c:ext>
              </c:extLst>
            </c:dLbl>
            <c:dLbl>
              <c:idx val="1"/>
              <c:layout>
                <c:manualLayout>
                  <c:x val="-0.16994562534746296"/>
                  <c:y val="3.082924192083053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15EADB7-8BE8-4FE7-9986-9DB02D209A25}" type="CATEGORYNAME">
                      <a:rPr lang="en-US" sz="800"/>
                      <a:pPr>
                        <a:defRPr sz="800"/>
                      </a:pPr>
                      <a:t>[CATEGORY NAME]</a:t>
                    </a:fld>
                    <a:r>
                      <a:rPr lang="en-US" sz="800" baseline="0"/>
                      <a:t>, </a:t>
                    </a:r>
                    <a:fld id="{E2F0C3F8-BCE8-418C-9EFC-40F60D906308}" type="VALUE">
                      <a:rPr lang="en-US" sz="800" baseline="0"/>
                      <a:pPr>
                        <a:defRPr sz="800"/>
                      </a:pPr>
                      <a:t>[VALUE]</a:t>
                    </a:fld>
                    <a:r>
                      <a:rPr lang="en-US" sz="800" baseline="0"/>
                      <a:t>, </a:t>
                    </a:r>
                  </a:p>
                  <a:p>
                    <a:pPr>
                      <a:defRPr sz="800"/>
                    </a:pPr>
                    <a:fld id="{0ABA1039-F796-44DF-8D21-3384F92E5296}" type="PERCENTAGE">
                      <a:rPr lang="en-US" sz="800" baseline="0"/>
                      <a:pPr>
                        <a:defRPr sz="800"/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681365393223758"/>
                      <c:h val="0.1774887629202024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94E-4FB0-9A86-9EE9453C61F6}"/>
                </c:ext>
              </c:extLst>
            </c:dLbl>
            <c:dLbl>
              <c:idx val="2"/>
              <c:layout>
                <c:manualLayout>
                  <c:x val="-0.14125799968131794"/>
                  <c:y val="-0.1599268279814308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5F3C655-7E42-4799-9105-06CD3D8F8ACB}" type="CATEGORYNAME">
                      <a:rPr lang="en-US" sz="800"/>
                      <a:pPr>
                        <a:defRPr sz="800"/>
                      </a:pPr>
                      <a:t>[CATEGORY NAME]</a:t>
                    </a:fld>
                    <a:r>
                      <a:rPr lang="en-US" sz="800" baseline="0"/>
                      <a:t>, </a:t>
                    </a:r>
                    <a:fld id="{23F5833B-0F02-42D9-9CD3-B8578C385278}" type="VALUE">
                      <a:rPr lang="en-US" sz="800" baseline="0"/>
                      <a:pPr>
                        <a:defRPr sz="800"/>
                      </a:pPr>
                      <a:t>[VALUE]</a:t>
                    </a:fld>
                    <a:r>
                      <a:rPr lang="en-US" sz="800" baseline="0"/>
                      <a:t>, </a:t>
                    </a:r>
                  </a:p>
                  <a:p>
                    <a:pPr>
                      <a:defRPr sz="800"/>
                    </a:pPr>
                    <a:fld id="{77652DD5-7C2F-4410-8593-3DC383A1CAEC}" type="PERCENTAGE">
                      <a:rPr lang="en-US" sz="800" baseline="0"/>
                      <a:pPr>
                        <a:defRPr sz="800"/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571131761817438"/>
                      <c:h val="0.1728992497049340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294E-4FB0-9A86-9EE9453C61F6}"/>
                </c:ext>
              </c:extLst>
            </c:dLbl>
            <c:dLbl>
              <c:idx val="3"/>
              <c:layout>
                <c:manualLayout>
                  <c:x val="-5.2740335223998873E-3"/>
                  <c:y val="-8.2564258605698659E-2"/>
                </c:manualLayout>
              </c:layout>
              <c:tx>
                <c:rich>
                  <a:bodyPr/>
                  <a:lstStyle/>
                  <a:p>
                    <a:fld id="{25E04C04-9704-4B91-9D8E-A76CEB85C9CF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</a:p>
                  <a:p>
                    <a:fld id="{4D5E12E4-A412-4DCF-85D3-8FBCF67ABB2C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  <a:p>
                    <a:fld id="{DAB7C3C0-D4DB-4A1D-9607-488A703055FF}" type="PERCENTAGE">
                      <a:rPr lang="en-US" baseline="0"/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94E-4FB0-9A86-9EE9453C61F6}"/>
                </c:ext>
              </c:extLst>
            </c:dLbl>
            <c:dLbl>
              <c:idx val="4"/>
              <c:layout>
                <c:manualLayout>
                  <c:x val="0.13424562912645643"/>
                  <c:y val="-0.1602784497419393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32DA08F-85A2-4248-BEBE-97E3FE5CE0D8}" type="CATEGORYNAME">
                      <a:rPr lang="en-US" sz="800"/>
                      <a:pPr>
                        <a:defRPr sz="800"/>
                      </a:pPr>
                      <a:t>[CATEGORY NAME]</a:t>
                    </a:fld>
                    <a:r>
                      <a:rPr lang="en-US" sz="800" baseline="0"/>
                      <a:t>, </a:t>
                    </a:r>
                    <a:fld id="{348F1A46-C4EA-41AF-B348-D84D78FC5533}" type="VALUE">
                      <a:rPr lang="en-US" sz="800" baseline="0"/>
                      <a:pPr>
                        <a:defRPr sz="800"/>
                      </a:pPr>
                      <a:t>[VALUE]</a:t>
                    </a:fld>
                    <a:r>
                      <a:rPr lang="en-US" sz="800" baseline="0"/>
                      <a:t>, </a:t>
                    </a:r>
                  </a:p>
                  <a:p>
                    <a:pPr>
                      <a:defRPr sz="800"/>
                    </a:pPr>
                    <a:fld id="{C215259C-B145-4CFB-9E8C-834C08AABD1E}" type="PERCENTAGE">
                      <a:rPr lang="en-US" sz="800" baseline="0"/>
                      <a:pPr>
                        <a:defRPr sz="800"/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30848976223897"/>
                      <c:h val="0.2246798001429615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94E-4FB0-9A86-9EE9453C61F6}"/>
                </c:ext>
              </c:extLst>
            </c:dLbl>
            <c:dLbl>
              <c:idx val="5"/>
              <c:layout>
                <c:manualLayout>
                  <c:x val="0.15904857453673077"/>
                  <c:y val="7.730461218079529E-2"/>
                </c:manualLayout>
              </c:layout>
              <c:tx>
                <c:rich>
                  <a:bodyPr/>
                  <a:lstStyle/>
                  <a:p>
                    <a:fld id="{C91ADFD9-D1F7-4BA1-A89A-B1497E0084BE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B7F403B3-889F-4930-9717-CABF921FB8AE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  <a:p>
                    <a:fld id="{DA1DB6D2-810C-4E64-9833-A6D507D550E0}" type="PERCENTAGE">
                      <a:rPr lang="en-US" baseline="0"/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294E-4FB0-9A86-9EE9453C61F6}"/>
                </c:ext>
              </c:extLst>
            </c:dLbl>
            <c:dLbl>
              <c:idx val="6"/>
              <c:layout>
                <c:manualLayout>
                  <c:x val="9.8662898581552819E-2"/>
                  <c:y val="0.18619944217538587"/>
                </c:manualLayout>
              </c:layout>
              <c:tx>
                <c:rich>
                  <a:bodyPr/>
                  <a:lstStyle/>
                  <a:p>
                    <a:fld id="{82B6FCA0-FC5D-48F8-BDD7-D9728874F8FD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</a:t>
                    </a:r>
                  </a:p>
                  <a:p>
                    <a:r>
                      <a:rPr lang="en-US" baseline="0"/>
                      <a:t> </a:t>
                    </a:r>
                    <a:fld id="{940C526E-F6B8-4A06-82A3-B251EADC3C89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</a:t>
                    </a:r>
                  </a:p>
                  <a:p>
                    <a:r>
                      <a:rPr lang="en-US" baseline="0"/>
                      <a:t> </a:t>
                    </a:r>
                    <a:fld id="{AA184F8E-E785-4ABD-BC87-30280C0231ED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94E-4FB0-9A86-9EE9453C61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weekly_report!$H$2:$H$38</c:f>
              <c:strCache>
                <c:ptCount val="7"/>
                <c:pt idx="0">
                  <c:v>Australia</c:v>
                </c:pt>
                <c:pt idx="1">
                  <c:v>China</c:v>
                </c:pt>
                <c:pt idx="2">
                  <c:v>Japan</c:v>
                </c:pt>
                <c:pt idx="3">
                  <c:v>Jordan</c:v>
                </c:pt>
                <c:pt idx="4">
                  <c:v>Norway</c:v>
                </c:pt>
                <c:pt idx="5">
                  <c:v>South Korea</c:v>
                </c:pt>
                <c:pt idx="6">
                  <c:v>Turkey</c:v>
                </c:pt>
              </c:strCache>
            </c:strRef>
          </c:cat>
          <c:val>
            <c:numRef>
              <c:f>weekly_report!$Q$2:$Q$38</c:f>
              <c:numCache>
                <c:formatCode>_(* #,##0.00_);_(* \(#,##0.00\);_(* "-"??_);_(@_)</c:formatCode>
                <c:ptCount val="37"/>
                <c:pt idx="0">
                  <c:v>266240000</c:v>
                </c:pt>
                <c:pt idx="1">
                  <c:v>222080000</c:v>
                </c:pt>
                <c:pt idx="2">
                  <c:v>215040000</c:v>
                </c:pt>
                <c:pt idx="3">
                  <c:v>210560000</c:v>
                </c:pt>
                <c:pt idx="4">
                  <c:v>264339136</c:v>
                </c:pt>
                <c:pt idx="5">
                  <c:v>228480000</c:v>
                </c:pt>
                <c:pt idx="6">
                  <c:v>225920000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E-4FB0-9A86-9EE9453C61F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</a:t>
            </a:r>
            <a:r>
              <a:rPr lang="en-US" baseline="0"/>
              <a:t> Expense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weekly_report!$R$2:$R$3</c:f>
              <c:strCache>
                <c:ptCount val="2"/>
                <c:pt idx="0">
                  <c:v>Total Revenue:</c:v>
                </c:pt>
                <c:pt idx="1">
                  <c:v>Total Expenses:</c:v>
                </c:pt>
              </c:strCache>
            </c:strRef>
          </c:cat>
          <c:val>
            <c:numRef>
              <c:f>weekly_report!$S$2:$S$3</c:f>
              <c:numCache>
                <c:formatCode>_(* #,##0.00_);_(* \(#,##0.00\);_(* "-"??_);_(@_)</c:formatCode>
                <c:ptCount val="2"/>
                <c:pt idx="0">
                  <c:v>1632659136</c:v>
                </c:pt>
                <c:pt idx="1">
                  <c:v>3213000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A-4275-9257-016D2532F1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25176223"/>
        <c:axId val="2125172383"/>
      </c:barChart>
      <c:catAx>
        <c:axId val="2125176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Financial Metrics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72383"/>
        <c:crosses val="autoZero"/>
        <c:auto val="1"/>
        <c:lblAlgn val="ctr"/>
        <c:lblOffset val="100"/>
        <c:noMultiLvlLbl val="0"/>
      </c:catAx>
      <c:valAx>
        <c:axId val="212517238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7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weekly_report!$R$2:$R$4</c:f>
              <c:strCache>
                <c:ptCount val="3"/>
                <c:pt idx="0">
                  <c:v>Total Revenue:</c:v>
                </c:pt>
                <c:pt idx="1">
                  <c:v>Total Expenses:</c:v>
                </c:pt>
                <c:pt idx="2">
                  <c:v>Profit:</c:v>
                </c:pt>
              </c:strCache>
            </c:strRef>
          </c:cat>
          <c:val>
            <c:numRef>
              <c:f>weekly_report!$S$2:$S$4</c:f>
              <c:numCache>
                <c:formatCode>_(* #,##0.00_);_(* \(#,##0.00\);_(* "-"??_);_(@_)</c:formatCode>
                <c:ptCount val="3"/>
                <c:pt idx="0">
                  <c:v>1632659136</c:v>
                </c:pt>
                <c:pt idx="1">
                  <c:v>3213000</c:v>
                </c:pt>
                <c:pt idx="2">
                  <c:v>1629446136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0-435B-A6FB-1FEACE62C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4265807"/>
        <c:axId val="574266287"/>
      </c:barChart>
      <c:catAx>
        <c:axId val="574265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Metric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266287"/>
        <c:crosses val="autoZero"/>
        <c:auto val="1"/>
        <c:lblAlgn val="ctr"/>
        <c:lblOffset val="100"/>
        <c:noMultiLvlLbl val="0"/>
      </c:catAx>
      <c:valAx>
        <c:axId val="5742662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Amount (USD)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26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957944</xdr:colOff>
      <xdr:row>9</xdr:row>
      <xdr:rowOff>27215</xdr:rowOff>
    </xdr:from>
    <xdr:to>
      <xdr:col>9</xdr:col>
      <xdr:colOff>1926772</xdr:colOff>
      <xdr:row>23</xdr:row>
      <xdr:rowOff>179615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4A046-9978-39AE-EDD4-944B56184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1948542</xdr:colOff>
      <xdr:row>9</xdr:row>
      <xdr:rowOff>27215</xdr:rowOff>
    </xdr:from>
    <xdr:to>
      <xdr:col>14</xdr:col>
      <xdr:colOff>696686</xdr:colOff>
      <xdr:row>24</xdr:row>
      <xdr:rowOff>10886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A8B4B1-D814-D5FE-866B-B7B53ED2E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735106</xdr:colOff>
      <xdr:row>24</xdr:row>
      <xdr:rowOff>13855</xdr:rowOff>
    </xdr:from>
    <xdr:to>
      <xdr:col>9</xdr:col>
      <xdr:colOff>1911927</xdr:colOff>
      <xdr:row>40</xdr:row>
      <xdr:rowOff>83127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EA64A4-BC6B-461B-F704-4DCD895DD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1929364</xdr:colOff>
      <xdr:row>24</xdr:row>
      <xdr:rowOff>96026</xdr:rowOff>
    </xdr:from>
    <xdr:to>
      <xdr:col>14</xdr:col>
      <xdr:colOff>703237</xdr:colOff>
      <xdr:row>39</xdr:row>
      <xdr:rowOff>137589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691E56-13F0-999A-8887-EB7B5CE30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14656</xdr:colOff>
      <xdr:row>5</xdr:row>
      <xdr:rowOff>8791</xdr:rowOff>
    </xdr:from>
    <xdr:to>
      <xdr:col>21</xdr:col>
      <xdr:colOff>290148</xdr:colOff>
      <xdr:row>20</xdr:row>
      <xdr:rowOff>26375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ED1EE64-4D36-0101-8EBC-8B51AB58C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354105</xdr:colOff>
      <xdr:row>4</xdr:row>
      <xdr:rowOff>170330</xdr:rowOff>
    </xdr:from>
    <xdr:to>
      <xdr:col>29</xdr:col>
      <xdr:colOff>49305</xdr:colOff>
      <xdr:row>20</xdr:row>
      <xdr:rowOff>44824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EB5D6B-E2E3-1705-C815-5534592AE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0239-7C9D-4D00-91F0-CF0739056F6F}">
  <dimension ref="A1:S38"/>
  <sheetViews>
    <sheetView tabSelected="1" zoomScale="55" zoomScaleNormal="55" workbookViewId="0">
      <selection activeCell="AA4" sqref="AA4"/>
    </sheetView>
  </sheetViews>
  <sheetFormatPr defaultRowHeight="14.4" x14ac:dyDescent="0.3"/>
  <cols>
    <col min="1" max="1" width="14.6640625" style="1" customWidth="1"/>
    <col min="2" max="2" width="47.21875" style="1" customWidth="1"/>
    <col min="3" max="3" width="14.33203125" style="1" customWidth="1"/>
    <col min="4" max="4" width="12.33203125" style="1" customWidth="1"/>
    <col min="5" max="5" width="18" style="1" customWidth="1"/>
    <col min="6" max="6" width="15.44140625" style="1" customWidth="1"/>
    <col min="7" max="7" width="27.5546875" style="1" customWidth="1"/>
    <col min="8" max="8" width="19.33203125" style="1" customWidth="1"/>
    <col min="9" max="9" width="25" style="8" customWidth="1"/>
    <col min="10" max="10" width="37" style="1" customWidth="1"/>
    <col min="11" max="11" width="12.44140625" style="2" customWidth="1"/>
    <col min="12" max="12" width="13.88671875" style="2" customWidth="1"/>
    <col min="13" max="13" width="21.21875" style="8" customWidth="1"/>
    <col min="14" max="14" width="15.5546875" style="3" customWidth="1"/>
    <col min="15" max="15" width="13" style="3" customWidth="1"/>
    <col min="16" max="16" width="20.77734375" style="8" customWidth="1"/>
    <col min="17" max="17" width="20.88671875" style="8" customWidth="1"/>
    <col min="18" max="18" width="24.88671875" style="1" customWidth="1"/>
    <col min="19" max="19" width="20" style="8" customWidth="1"/>
    <col min="20" max="16384" width="8.88671875" style="1"/>
  </cols>
  <sheetData>
    <row r="1" spans="1:19" s="4" customFormat="1" x14ac:dyDescent="0.3">
      <c r="A1" s="4" t="s">
        <v>0</v>
      </c>
      <c r="B1" s="4" t="s">
        <v>1</v>
      </c>
      <c r="C1" s="4" t="s">
        <v>33</v>
      </c>
      <c r="D1" s="4" t="s">
        <v>2</v>
      </c>
      <c r="E1" s="4" t="s">
        <v>3</v>
      </c>
      <c r="F1" s="4" t="s">
        <v>4</v>
      </c>
      <c r="G1" s="4" t="s">
        <v>32</v>
      </c>
      <c r="H1" s="4" t="s">
        <v>37</v>
      </c>
      <c r="I1" s="7" t="s">
        <v>42</v>
      </c>
      <c r="J1" s="4" t="s">
        <v>34</v>
      </c>
      <c r="K1" s="5" t="s">
        <v>35</v>
      </c>
      <c r="L1" s="5" t="s">
        <v>36</v>
      </c>
      <c r="M1" s="7" t="s">
        <v>38</v>
      </c>
      <c r="N1" s="6" t="s">
        <v>39</v>
      </c>
      <c r="O1" s="9" t="s">
        <v>40</v>
      </c>
      <c r="P1" s="7" t="s">
        <v>41</v>
      </c>
      <c r="Q1" s="7" t="s">
        <v>43</v>
      </c>
      <c r="R1" s="10" t="s">
        <v>44</v>
      </c>
      <c r="S1" s="7" t="s">
        <v>48</v>
      </c>
    </row>
    <row r="2" spans="1:19" x14ac:dyDescent="0.3">
      <c r="A2" s="1" t="s">
        <v>5</v>
      </c>
      <c r="B2" s="1" t="s">
        <v>6</v>
      </c>
      <c r="C2" s="1" t="s">
        <v>7</v>
      </c>
      <c r="D2" s="1">
        <v>650000</v>
      </c>
      <c r="E2" s="1" t="s">
        <v>8</v>
      </c>
      <c r="F2" s="2">
        <v>45966</v>
      </c>
      <c r="G2" s="1" t="str">
        <f>UPPER(LEFT(TRIM(E2),1)&amp;MID(TRIM(E2),FIND(" ",TRIM(E2))+1,1)&amp;MID(TRIM(E2),FIND(" ",TRIM(E2),FIND(" ",TRIM(E2))+1)+1,1))</f>
        <v>AEP</v>
      </c>
      <c r="H2" s="1" t="str" cm="1">
        <f t="array" ref="H2:H8">_xlfn._xlws.SORT(_xlfn.UNIQUE(_xlfn._xlws.FILTER(C2:C100, C2:C100&lt;&gt;"")))</f>
        <v>Australia</v>
      </c>
      <c r="I2" s="8">
        <f>SUMIF($C$2:$C$100, H2, $D$2:$D$100)</f>
        <v>4160000</v>
      </c>
      <c r="J2" s="1" t="str" cm="1">
        <f t="array" ref="J2">_xlfn.TEXTJOIN(", ",TRUE,_xlfn.UNIQUE(_xlfn._xlws.FILTER($E$2:$E$38,$C$2:$C$38=H2)))</f>
        <v>AUS Energy Pty</v>
      </c>
      <c r="K2" s="2">
        <f t="shared" ref="K2:K8" si="0">_xlfn.MINIFS($F$2:$F$38,$C$2:$C$38,H2)</f>
        <v>45966</v>
      </c>
      <c r="L2" s="2" cm="1">
        <f t="array" ref="L2">MAX(_xlfn._xlws.FILTER($F$2:$F$100,$C$2:$C$100=H2))</f>
        <v>46006</v>
      </c>
      <c r="M2" s="8">
        <f t="shared" ref="M2:M8" si="1">I2*64</f>
        <v>266240000</v>
      </c>
      <c r="N2" s="3">
        <f t="shared" ref="N2:N7" si="2">IF(H2="China",13%,IF(H2="Norway",25%,IF(H2="South Korea",12%,IF(H2="Jordan",16%,IF(H2="Japan",10%,IF(H2="Australia",10%,0))))))</f>
        <v>0.1</v>
      </c>
      <c r="O2" s="3">
        <f t="shared" ref="O2:O7" si="3">IF(H2="China",1.2%,
IF(H2="Norway",1.3%,
IF(H2="South Korea",0.9%,
IF(H2="Jordan",2.5%,
IF(H2="Japan",2.2%,
IF(H2="Australia",3.2%,
IF(H2="Turkey",2%,"")))))))</f>
        <v>3.2000000000000001E-2</v>
      </c>
      <c r="P2" s="8">
        <f>M2*(1+N2+O2)</f>
        <v>301383680.00000006</v>
      </c>
      <c r="Q2" s="8">
        <f>I2*64</f>
        <v>266240000</v>
      </c>
      <c r="R2" s="4" t="s">
        <v>45</v>
      </c>
      <c r="S2" s="8">
        <f>SUM(Q2:Q8)</f>
        <v>1632659136</v>
      </c>
    </row>
    <row r="3" spans="1:19" x14ac:dyDescent="0.3">
      <c r="A3" s="1" t="s">
        <v>5</v>
      </c>
      <c r="B3" s="1" t="s">
        <v>6</v>
      </c>
      <c r="C3" s="1" t="s">
        <v>9</v>
      </c>
      <c r="D3" s="1">
        <v>680000</v>
      </c>
      <c r="E3" s="1" t="s">
        <v>10</v>
      </c>
      <c r="F3" s="2">
        <v>45972</v>
      </c>
      <c r="G3" s="1" t="str">
        <f t="shared" ref="G3:G38" si="4">UPPER(LEFT(TRIM(E3),1)&amp;MID(TRIM(E3),FIND(" ",TRIM(E3))+1,1)&amp;MID(TRIM(E3),FIND(" ",TRIM(E3),FIND(" ",TRIM(E3))+1)+1,1))</f>
        <v>NOE</v>
      </c>
      <c r="H3" s="1" t="str">
        <v>China</v>
      </c>
      <c r="I3" s="8">
        <f t="shared" ref="I3:I8" si="5">SUMIF($C$2:$C$38,H3,$D$2:$D$38)</f>
        <v>3470000</v>
      </c>
      <c r="J3" s="1" t="str" cm="1">
        <f t="array" ref="J3">_xlfn.TEXTJOIN(", ",TRUE,_xlfn.UNIQUE(_xlfn._xlws.FILTER($E$2:$E$38,$C$2:$C$38=H3)))</f>
        <v>China Petro Export, Sino Export Ltd</v>
      </c>
      <c r="K3" s="2">
        <f t="shared" si="0"/>
        <v>45967</v>
      </c>
      <c r="L3" s="2" cm="1">
        <f t="array" ref="L3">MAX(_xlfn._xlws.FILTER($F$2:$F$100,$C$2:$C$100=H3))</f>
        <v>46000</v>
      </c>
      <c r="M3" s="8">
        <f t="shared" si="1"/>
        <v>222080000</v>
      </c>
      <c r="N3" s="3">
        <f t="shared" si="2"/>
        <v>0.13</v>
      </c>
      <c r="O3" s="3">
        <f t="shared" si="3"/>
        <v>1.2E-2</v>
      </c>
      <c r="P3" s="8">
        <f t="shared" ref="P3:P8" si="6">M3*(1+N3+O3)</f>
        <v>253615359.99999997</v>
      </c>
      <c r="Q3" s="8">
        <f t="shared" ref="Q3:Q8" si="7">I3*64</f>
        <v>222080000</v>
      </c>
      <c r="R3" s="4" t="s">
        <v>46</v>
      </c>
      <c r="S3" s="8">
        <f>(200000+860000+11000)*3</f>
        <v>3213000</v>
      </c>
    </row>
    <row r="4" spans="1:19" x14ac:dyDescent="0.3">
      <c r="A4" s="1" t="s">
        <v>5</v>
      </c>
      <c r="B4" s="1" t="s">
        <v>6</v>
      </c>
      <c r="C4" s="1" t="s">
        <v>11</v>
      </c>
      <c r="D4" s="1">
        <v>690000</v>
      </c>
      <c r="E4" s="1" t="s">
        <v>12</v>
      </c>
      <c r="F4" s="2">
        <v>45978</v>
      </c>
      <c r="G4" s="1" t="str">
        <f t="shared" si="4"/>
        <v>TEA</v>
      </c>
      <c r="H4" s="1" t="str">
        <v>Japan</v>
      </c>
      <c r="I4" s="8">
        <f t="shared" si="5"/>
        <v>3360000</v>
      </c>
      <c r="J4" s="1" t="str" cm="1">
        <f t="array" ref="J4">_xlfn.TEXTJOIN(", ",TRUE,_xlfn.UNIQUE(_xlfn._xlws.FILTER($E$2:$E$38,$C$2:$C$38=H4)))</f>
        <v>Japan Oil Trading</v>
      </c>
      <c r="K4" s="2">
        <f t="shared" si="0"/>
        <v>45968</v>
      </c>
      <c r="L4" s="2" cm="1">
        <f t="array" ref="L4">MAX(_xlfn._xlws.FILTER($F$2:$F$100,$C$2:$C$100=H4))</f>
        <v>46001</v>
      </c>
      <c r="M4" s="8">
        <f t="shared" si="1"/>
        <v>215040000</v>
      </c>
      <c r="N4" s="3">
        <f t="shared" si="2"/>
        <v>0.1</v>
      </c>
      <c r="O4" s="3">
        <f t="shared" si="3"/>
        <v>2.2000000000000002E-2</v>
      </c>
      <c r="P4" s="8">
        <f t="shared" si="6"/>
        <v>241274880.00000003</v>
      </c>
      <c r="Q4" s="8">
        <f t="shared" si="7"/>
        <v>215040000</v>
      </c>
      <c r="R4" s="4" t="s">
        <v>47</v>
      </c>
      <c r="S4" s="8">
        <f>SUM(Q2:Q8)-(200000+860000+11000)*3</f>
        <v>1629446136</v>
      </c>
    </row>
    <row r="5" spans="1:19" x14ac:dyDescent="0.3">
      <c r="A5" s="1" t="s">
        <v>5</v>
      </c>
      <c r="B5" s="1" t="s">
        <v>6</v>
      </c>
      <c r="C5" s="1" t="s">
        <v>13</v>
      </c>
      <c r="D5" s="1">
        <v>640000</v>
      </c>
      <c r="E5" s="1" t="s">
        <v>14</v>
      </c>
      <c r="F5" s="2">
        <v>45984</v>
      </c>
      <c r="G5" s="1" t="str">
        <f t="shared" si="4"/>
        <v>JPC</v>
      </c>
      <c r="H5" s="1" t="str">
        <v>Jordan</v>
      </c>
      <c r="I5" s="8">
        <f t="shared" si="5"/>
        <v>3290000</v>
      </c>
      <c r="J5" s="1" t="str" cm="1">
        <f t="array" ref="J5">_xlfn.TEXTJOIN(", ",TRUE,_xlfn.UNIQUE(_xlfn._xlws.FILTER($E$2:$E$38,$C$2:$C$38=H5)))</f>
        <v>Jordan Petroleum Co</v>
      </c>
      <c r="K5" s="2">
        <f t="shared" si="0"/>
        <v>45970</v>
      </c>
      <c r="L5" s="2" cm="1">
        <f t="array" ref="L5">MAX(_xlfn._xlws.FILTER($F$2:$F$100,$C$2:$C$100=H5))</f>
        <v>46003</v>
      </c>
      <c r="M5" s="8">
        <f t="shared" si="1"/>
        <v>210560000</v>
      </c>
      <c r="N5" s="3">
        <f t="shared" si="2"/>
        <v>0.16</v>
      </c>
      <c r="O5" s="3">
        <f t="shared" si="3"/>
        <v>2.5000000000000001E-2</v>
      </c>
      <c r="P5" s="8">
        <f t="shared" si="6"/>
        <v>249513599.99999997</v>
      </c>
      <c r="Q5" s="8">
        <f t="shared" si="7"/>
        <v>210560000</v>
      </c>
    </row>
    <row r="6" spans="1:19" x14ac:dyDescent="0.3">
      <c r="A6" s="1" t="s">
        <v>5</v>
      </c>
      <c r="B6" s="1" t="s">
        <v>6</v>
      </c>
      <c r="C6" s="1" t="s">
        <v>15</v>
      </c>
      <c r="D6" s="1">
        <v>670000</v>
      </c>
      <c r="E6" s="1" t="s">
        <v>16</v>
      </c>
      <c r="F6" s="2">
        <v>45995</v>
      </c>
      <c r="G6" s="1" t="str">
        <f t="shared" si="4"/>
        <v>KEC</v>
      </c>
      <c r="H6" s="1" t="str">
        <v>Norway</v>
      </c>
      <c r="I6" s="8">
        <f t="shared" si="5"/>
        <v>4130299</v>
      </c>
      <c r="J6" s="1" t="str" cm="1">
        <f t="array" ref="J6">_xlfn.TEXTJOIN(", ",TRUE,_xlfn.UNIQUE(_xlfn._xlws.FILTER($E$2:$E$38,$C$2:$C$38=H6)))</f>
        <v>Norway Oil Export, China Petro Export</v>
      </c>
      <c r="K6" s="2">
        <f t="shared" si="0"/>
        <v>45972</v>
      </c>
      <c r="L6" s="2" cm="1">
        <f t="array" ref="L6">MAX(_xlfn._xlws.FILTER($F$2:$F$100,$C$2:$C$100=H6))</f>
        <v>46011</v>
      </c>
      <c r="M6" s="8">
        <f t="shared" si="1"/>
        <v>264339136</v>
      </c>
      <c r="N6" s="3">
        <f t="shared" si="2"/>
        <v>0.25</v>
      </c>
      <c r="O6" s="3">
        <f t="shared" si="3"/>
        <v>1.3000000000000001E-2</v>
      </c>
      <c r="P6" s="8">
        <f t="shared" si="6"/>
        <v>333860328.76799995</v>
      </c>
      <c r="Q6" s="8">
        <f t="shared" si="7"/>
        <v>264339136</v>
      </c>
    </row>
    <row r="7" spans="1:19" x14ac:dyDescent="0.3">
      <c r="A7" s="1" t="s">
        <v>5</v>
      </c>
      <c r="B7" s="1" t="s">
        <v>6</v>
      </c>
      <c r="C7" s="1" t="s">
        <v>17</v>
      </c>
      <c r="D7" s="1">
        <v>660000</v>
      </c>
      <c r="E7" s="1" t="s">
        <v>18</v>
      </c>
      <c r="F7" s="2">
        <v>46001</v>
      </c>
      <c r="G7" s="1" t="str">
        <f t="shared" si="4"/>
        <v>JOT</v>
      </c>
      <c r="H7" s="1" t="str">
        <v>South Korea</v>
      </c>
      <c r="I7" s="8">
        <f t="shared" si="5"/>
        <v>3570000</v>
      </c>
      <c r="J7" s="1" t="str" cm="1">
        <f t="array" ref="J7">_xlfn.TEXTJOIN(", ",TRUE,_xlfn.UNIQUE(_xlfn._xlws.FILTER($E$2:$E$38,$C$2:$C$38=H7)))</f>
        <v>Korea Energy Corp</v>
      </c>
      <c r="K7" s="2">
        <f t="shared" si="0"/>
        <v>45969</v>
      </c>
      <c r="L7" s="2" cm="1">
        <f t="array" ref="L7">MAX(_xlfn._xlws.FILTER($F$2:$F$100,$C$2:$C$100=H7))</f>
        <v>46002</v>
      </c>
      <c r="M7" s="8">
        <f t="shared" si="1"/>
        <v>228480000</v>
      </c>
      <c r="N7" s="3">
        <f t="shared" si="2"/>
        <v>0.12</v>
      </c>
      <c r="O7" s="3">
        <f t="shared" si="3"/>
        <v>9.0000000000000011E-3</v>
      </c>
      <c r="P7" s="8">
        <f t="shared" si="6"/>
        <v>257953920</v>
      </c>
      <c r="Q7" s="8">
        <f t="shared" si="7"/>
        <v>228480000</v>
      </c>
    </row>
    <row r="8" spans="1:19" x14ac:dyDescent="0.3">
      <c r="A8" s="1" t="s">
        <v>19</v>
      </c>
      <c r="B8" s="1" t="s">
        <v>20</v>
      </c>
      <c r="C8" s="1" t="s">
        <v>21</v>
      </c>
      <c r="D8" s="1">
        <v>720000</v>
      </c>
      <c r="E8" s="1" t="s">
        <v>22</v>
      </c>
      <c r="F8" s="2">
        <v>45967</v>
      </c>
      <c r="G8" s="1" t="str">
        <f t="shared" si="4"/>
        <v>CPE</v>
      </c>
      <c r="H8" s="1" t="str">
        <v>Turkey</v>
      </c>
      <c r="I8" s="8">
        <f t="shared" si="5"/>
        <v>3530000</v>
      </c>
      <c r="J8" s="1" t="str" cm="1">
        <f t="array" ref="J8">_xlfn.TEXTJOIN(", ",TRUE,_xlfn.UNIQUE(_xlfn._xlws.FILTER($E$2:$E$38,$C$2:$C$38=H8)))</f>
        <v>Turkish Energy A.S.</v>
      </c>
      <c r="K8" s="2">
        <f t="shared" si="0"/>
        <v>45971</v>
      </c>
      <c r="L8" s="2" cm="1">
        <f t="array" ref="L8">MAX(_xlfn._xlws.FILTER($F$2:$F$100,$C$2:$C$100=H8))</f>
        <v>46004</v>
      </c>
      <c r="M8" s="8">
        <f t="shared" si="1"/>
        <v>225920000</v>
      </c>
      <c r="N8" s="3">
        <v>0</v>
      </c>
      <c r="O8" s="3">
        <f>IF(H8="China",1.2%,
IF(H8="Norway",1.3%,
IF(H8="South Korea",0.9%,
IF(H8="Jordan",2.5%,
IF(H8="Japan",2.2%,
IF(H8="Australia",3.2%,
IF(H8="Turkey",0%,"")))))))</f>
        <v>0</v>
      </c>
      <c r="P8" s="8">
        <f t="shared" si="6"/>
        <v>225920000</v>
      </c>
      <c r="Q8" s="8">
        <f t="shared" si="7"/>
        <v>225920000</v>
      </c>
    </row>
    <row r="9" spans="1:19" x14ac:dyDescent="0.3">
      <c r="A9" s="1" t="s">
        <v>19</v>
      </c>
      <c r="B9" s="1" t="s">
        <v>20</v>
      </c>
      <c r="C9" s="1" t="s">
        <v>7</v>
      </c>
      <c r="D9" s="1">
        <v>700000</v>
      </c>
      <c r="E9" s="1" t="s">
        <v>8</v>
      </c>
      <c r="F9" s="2">
        <v>45973</v>
      </c>
      <c r="G9" s="1" t="str">
        <f t="shared" si="4"/>
        <v>AEP</v>
      </c>
      <c r="L9" s="1"/>
    </row>
    <row r="10" spans="1:19" x14ac:dyDescent="0.3">
      <c r="A10" s="1" t="s">
        <v>19</v>
      </c>
      <c r="B10" s="1" t="s">
        <v>20</v>
      </c>
      <c r="C10" s="1" t="s">
        <v>9</v>
      </c>
      <c r="D10" s="1">
        <v>740000</v>
      </c>
      <c r="E10" s="1" t="s">
        <v>10</v>
      </c>
      <c r="F10" s="2">
        <v>45979</v>
      </c>
      <c r="G10" s="1" t="str">
        <f t="shared" si="4"/>
        <v>NOE</v>
      </c>
    </row>
    <row r="11" spans="1:19" x14ac:dyDescent="0.3">
      <c r="A11" s="1" t="s">
        <v>19</v>
      </c>
      <c r="B11" s="1" t="s">
        <v>20</v>
      </c>
      <c r="C11" s="1" t="s">
        <v>11</v>
      </c>
      <c r="D11" s="1">
        <v>710000</v>
      </c>
      <c r="E11" s="1" t="s">
        <v>12</v>
      </c>
      <c r="F11" s="2">
        <v>45985</v>
      </c>
      <c r="G11" s="1" t="str">
        <f t="shared" si="4"/>
        <v>TEA</v>
      </c>
    </row>
    <row r="12" spans="1:19" x14ac:dyDescent="0.3">
      <c r="A12" s="1" t="s">
        <v>19</v>
      </c>
      <c r="B12" s="1" t="s">
        <v>20</v>
      </c>
      <c r="C12" s="1" t="s">
        <v>13</v>
      </c>
      <c r="D12" s="1">
        <v>730000</v>
      </c>
      <c r="E12" s="1" t="s">
        <v>14</v>
      </c>
      <c r="F12" s="2">
        <v>45996</v>
      </c>
      <c r="G12" s="1" t="str">
        <f t="shared" si="4"/>
        <v>JPC</v>
      </c>
    </row>
    <row r="13" spans="1:19" x14ac:dyDescent="0.3">
      <c r="A13" s="1" t="s">
        <v>19</v>
      </c>
      <c r="B13" s="1" t="s">
        <v>20</v>
      </c>
      <c r="C13" s="1" t="s">
        <v>15</v>
      </c>
      <c r="D13" s="1">
        <v>720000</v>
      </c>
      <c r="E13" s="1" t="s">
        <v>16</v>
      </c>
      <c r="F13" s="2">
        <v>46002</v>
      </c>
      <c r="G13" s="1" t="str">
        <f t="shared" si="4"/>
        <v>KEC</v>
      </c>
    </row>
    <row r="14" spans="1:19" x14ac:dyDescent="0.3">
      <c r="A14" s="1" t="s">
        <v>23</v>
      </c>
      <c r="B14" s="1" t="s">
        <v>24</v>
      </c>
      <c r="C14" s="1" t="s">
        <v>9</v>
      </c>
      <c r="D14" s="1">
        <v>710299</v>
      </c>
      <c r="E14" s="1" t="s">
        <v>22</v>
      </c>
      <c r="F14" s="2">
        <v>46011</v>
      </c>
      <c r="G14" s="1" t="str">
        <f t="shared" si="4"/>
        <v>CPE</v>
      </c>
    </row>
    <row r="15" spans="1:19" x14ac:dyDescent="0.3">
      <c r="A15" s="1" t="s">
        <v>23</v>
      </c>
      <c r="B15" s="1" t="s">
        <v>24</v>
      </c>
      <c r="C15" s="1" t="s">
        <v>17</v>
      </c>
      <c r="D15" s="1">
        <v>500000</v>
      </c>
      <c r="E15" s="1" t="s">
        <v>18</v>
      </c>
      <c r="F15" s="2">
        <v>45968</v>
      </c>
      <c r="G15" s="1" t="str">
        <f t="shared" si="4"/>
        <v>JOT</v>
      </c>
    </row>
    <row r="16" spans="1:19" x14ac:dyDescent="0.3">
      <c r="A16" s="1" t="s">
        <v>23</v>
      </c>
      <c r="B16" s="1" t="s">
        <v>24</v>
      </c>
      <c r="C16" s="1" t="s">
        <v>21</v>
      </c>
      <c r="D16" s="1">
        <v>520000</v>
      </c>
      <c r="E16" s="1" t="s">
        <v>25</v>
      </c>
      <c r="F16" s="2">
        <v>45974</v>
      </c>
      <c r="G16" s="1" t="str">
        <f t="shared" si="4"/>
        <v>SEL</v>
      </c>
    </row>
    <row r="17" spans="1:14" x14ac:dyDescent="0.3">
      <c r="A17" s="1" t="s">
        <v>23</v>
      </c>
      <c r="B17" s="1" t="s">
        <v>24</v>
      </c>
      <c r="C17" s="1" t="s">
        <v>7</v>
      </c>
      <c r="D17" s="1">
        <v>560000</v>
      </c>
      <c r="E17" s="1" t="s">
        <v>8</v>
      </c>
      <c r="F17" s="2">
        <v>45980</v>
      </c>
      <c r="G17" s="1" t="str">
        <f t="shared" si="4"/>
        <v>AEP</v>
      </c>
    </row>
    <row r="18" spans="1:14" x14ac:dyDescent="0.3">
      <c r="A18" s="1" t="s">
        <v>23</v>
      </c>
      <c r="B18" s="1" t="s">
        <v>24</v>
      </c>
      <c r="C18" s="1" t="s">
        <v>9</v>
      </c>
      <c r="D18" s="1">
        <v>530000</v>
      </c>
      <c r="E18" s="1" t="s">
        <v>10</v>
      </c>
      <c r="F18" s="2">
        <v>45986</v>
      </c>
      <c r="G18" s="1" t="str">
        <f t="shared" si="4"/>
        <v>NOE</v>
      </c>
    </row>
    <row r="19" spans="1:14" x14ac:dyDescent="0.3">
      <c r="A19" s="1" t="s">
        <v>23</v>
      </c>
      <c r="B19" s="1" t="s">
        <v>24</v>
      </c>
      <c r="C19" s="1" t="s">
        <v>11</v>
      </c>
      <c r="D19" s="1">
        <v>540000</v>
      </c>
      <c r="E19" s="1" t="s">
        <v>12</v>
      </c>
      <c r="F19" s="2">
        <v>45997</v>
      </c>
      <c r="G19" s="1" t="str">
        <f t="shared" si="4"/>
        <v>TEA</v>
      </c>
    </row>
    <row r="20" spans="1:14" x14ac:dyDescent="0.3">
      <c r="A20" s="1" t="s">
        <v>23</v>
      </c>
      <c r="B20" s="1" t="s">
        <v>24</v>
      </c>
      <c r="C20" s="1" t="s">
        <v>13</v>
      </c>
      <c r="D20" s="1">
        <v>550000</v>
      </c>
      <c r="E20" s="1" t="s">
        <v>14</v>
      </c>
      <c r="F20" s="2">
        <v>46003</v>
      </c>
      <c r="G20" s="1" t="str">
        <f t="shared" si="4"/>
        <v>JPC</v>
      </c>
    </row>
    <row r="21" spans="1:14" x14ac:dyDescent="0.3">
      <c r="A21" s="1" t="s">
        <v>26</v>
      </c>
      <c r="B21" s="1" t="s">
        <v>27</v>
      </c>
      <c r="C21" s="1" t="s">
        <v>15</v>
      </c>
      <c r="D21" s="1">
        <v>810000</v>
      </c>
      <c r="E21" s="1" t="s">
        <v>16</v>
      </c>
      <c r="F21" s="2">
        <v>45969</v>
      </c>
      <c r="G21" s="1" t="str">
        <f t="shared" si="4"/>
        <v>KEC</v>
      </c>
    </row>
    <row r="22" spans="1:14" x14ac:dyDescent="0.3">
      <c r="A22" s="1" t="s">
        <v>26</v>
      </c>
      <c r="B22" s="1" t="s">
        <v>27</v>
      </c>
      <c r="C22" s="1" t="s">
        <v>17</v>
      </c>
      <c r="D22" s="1">
        <v>830000</v>
      </c>
      <c r="E22" s="1" t="s">
        <v>18</v>
      </c>
      <c r="F22" s="2">
        <v>45975</v>
      </c>
      <c r="G22" s="1" t="str">
        <f t="shared" si="4"/>
        <v>JOT</v>
      </c>
    </row>
    <row r="23" spans="1:14" x14ac:dyDescent="0.3">
      <c r="A23" s="1" t="s">
        <v>26</v>
      </c>
      <c r="B23" s="1" t="s">
        <v>27</v>
      </c>
      <c r="C23" s="1" t="s">
        <v>21</v>
      </c>
      <c r="D23" s="1">
        <v>820000</v>
      </c>
      <c r="E23" s="1" t="s">
        <v>22</v>
      </c>
      <c r="F23" s="2">
        <v>45981</v>
      </c>
      <c r="G23" s="1" t="str">
        <f t="shared" si="4"/>
        <v>CPE</v>
      </c>
    </row>
    <row r="24" spans="1:14" x14ac:dyDescent="0.3">
      <c r="A24" s="1" t="s">
        <v>26</v>
      </c>
      <c r="B24" s="1" t="s">
        <v>27</v>
      </c>
      <c r="C24" s="1" t="s">
        <v>7</v>
      </c>
      <c r="D24" s="1">
        <v>850000</v>
      </c>
      <c r="E24" s="1" t="s">
        <v>8</v>
      </c>
      <c r="F24" s="2">
        <v>45992</v>
      </c>
      <c r="G24" s="1" t="str">
        <f t="shared" si="4"/>
        <v>AEP</v>
      </c>
      <c r="J24" s="2"/>
    </row>
    <row r="25" spans="1:14" x14ac:dyDescent="0.3">
      <c r="A25" s="1" t="s">
        <v>26</v>
      </c>
      <c r="B25" s="1" t="s">
        <v>27</v>
      </c>
      <c r="C25" s="1" t="s">
        <v>9</v>
      </c>
      <c r="D25" s="1">
        <v>860000</v>
      </c>
      <c r="E25" s="1" t="s">
        <v>10</v>
      </c>
      <c r="F25" s="2">
        <v>45998</v>
      </c>
      <c r="G25" s="1" t="str">
        <f t="shared" si="4"/>
        <v>NOE</v>
      </c>
      <c r="K25" s="1"/>
      <c r="L25" s="1"/>
      <c r="N25" s="1"/>
    </row>
    <row r="26" spans="1:14" x14ac:dyDescent="0.3">
      <c r="A26" s="1" t="s">
        <v>26</v>
      </c>
      <c r="B26" s="1" t="s">
        <v>27</v>
      </c>
      <c r="C26" s="1" t="s">
        <v>11</v>
      </c>
      <c r="D26" s="1">
        <v>840000</v>
      </c>
      <c r="E26" s="1" t="s">
        <v>12</v>
      </c>
      <c r="F26" s="2">
        <v>46004</v>
      </c>
      <c r="G26" s="1" t="str">
        <f t="shared" si="4"/>
        <v>TEA</v>
      </c>
    </row>
    <row r="27" spans="1:14" x14ac:dyDescent="0.3">
      <c r="A27" s="1" t="s">
        <v>28</v>
      </c>
      <c r="B27" s="1" t="s">
        <v>29</v>
      </c>
      <c r="C27" s="1" t="s">
        <v>13</v>
      </c>
      <c r="D27" s="1">
        <v>600000</v>
      </c>
      <c r="E27" s="1" t="s">
        <v>14</v>
      </c>
      <c r="F27" s="2">
        <v>45970</v>
      </c>
      <c r="G27" s="1" t="str">
        <f t="shared" si="4"/>
        <v>JPC</v>
      </c>
    </row>
    <row r="28" spans="1:14" x14ac:dyDescent="0.3">
      <c r="A28" s="1" t="s">
        <v>28</v>
      </c>
      <c r="B28" s="1" t="s">
        <v>29</v>
      </c>
      <c r="C28" s="1" t="s">
        <v>15</v>
      </c>
      <c r="D28" s="1">
        <v>610000</v>
      </c>
      <c r="E28" s="1" t="s">
        <v>16</v>
      </c>
      <c r="F28" s="2">
        <v>45976</v>
      </c>
      <c r="G28" s="1" t="str">
        <f t="shared" si="4"/>
        <v>KEC</v>
      </c>
    </row>
    <row r="29" spans="1:14" x14ac:dyDescent="0.3">
      <c r="A29" s="1" t="s">
        <v>28</v>
      </c>
      <c r="B29" s="1" t="s">
        <v>29</v>
      </c>
      <c r="C29" s="1" t="s">
        <v>17</v>
      </c>
      <c r="D29" s="1">
        <v>590000</v>
      </c>
      <c r="E29" s="1" t="s">
        <v>18</v>
      </c>
      <c r="F29" s="2">
        <v>45982</v>
      </c>
      <c r="G29" s="1" t="str">
        <f t="shared" si="4"/>
        <v>JOT</v>
      </c>
    </row>
    <row r="30" spans="1:14" x14ac:dyDescent="0.3">
      <c r="A30" s="1" t="s">
        <v>28</v>
      </c>
      <c r="B30" s="1" t="s">
        <v>29</v>
      </c>
      <c r="C30" s="1" t="s">
        <v>21</v>
      </c>
      <c r="D30" s="1">
        <v>620000</v>
      </c>
      <c r="E30" s="1" t="s">
        <v>25</v>
      </c>
      <c r="F30" s="2">
        <v>45993</v>
      </c>
      <c r="G30" s="1" t="str">
        <f t="shared" si="4"/>
        <v>SEL</v>
      </c>
    </row>
    <row r="31" spans="1:14" x14ac:dyDescent="0.3">
      <c r="A31" s="1" t="s">
        <v>28</v>
      </c>
      <c r="B31" s="1" t="s">
        <v>29</v>
      </c>
      <c r="C31" s="1" t="s">
        <v>7</v>
      </c>
      <c r="D31" s="1">
        <v>600000</v>
      </c>
      <c r="E31" s="1" t="s">
        <v>8</v>
      </c>
      <c r="F31" s="2">
        <v>45999</v>
      </c>
      <c r="G31" s="1" t="str">
        <f t="shared" si="4"/>
        <v>AEP</v>
      </c>
    </row>
    <row r="32" spans="1:14" x14ac:dyDescent="0.3">
      <c r="A32" s="1" t="s">
        <v>28</v>
      </c>
      <c r="B32" s="1" t="s">
        <v>29</v>
      </c>
      <c r="C32" s="1" t="s">
        <v>9</v>
      </c>
      <c r="D32" s="1">
        <v>610000</v>
      </c>
      <c r="E32" s="1" t="s">
        <v>10</v>
      </c>
      <c r="F32" s="2">
        <v>46005</v>
      </c>
      <c r="G32" s="1" t="str">
        <f t="shared" si="4"/>
        <v>NOE</v>
      </c>
      <c r="N32" s="2"/>
    </row>
    <row r="33" spans="1:7" x14ac:dyDescent="0.3">
      <c r="A33" s="1" t="s">
        <v>30</v>
      </c>
      <c r="B33" s="1" t="s">
        <v>31</v>
      </c>
      <c r="C33" s="1" t="s">
        <v>11</v>
      </c>
      <c r="D33" s="1">
        <v>750000</v>
      </c>
      <c r="E33" s="1" t="s">
        <v>12</v>
      </c>
      <c r="F33" s="2">
        <v>45971</v>
      </c>
      <c r="G33" s="1" t="str">
        <f t="shared" si="4"/>
        <v>TEA</v>
      </c>
    </row>
    <row r="34" spans="1:7" x14ac:dyDescent="0.3">
      <c r="A34" s="1" t="s">
        <v>30</v>
      </c>
      <c r="B34" s="1" t="s">
        <v>31</v>
      </c>
      <c r="C34" s="1" t="s">
        <v>13</v>
      </c>
      <c r="D34" s="1">
        <v>770000</v>
      </c>
      <c r="E34" s="1" t="s">
        <v>14</v>
      </c>
      <c r="F34" s="2">
        <v>45977</v>
      </c>
      <c r="G34" s="1" t="str">
        <f t="shared" si="4"/>
        <v>JPC</v>
      </c>
    </row>
    <row r="35" spans="1:7" x14ac:dyDescent="0.3">
      <c r="A35" s="1" t="s">
        <v>30</v>
      </c>
      <c r="B35" s="1" t="s">
        <v>31</v>
      </c>
      <c r="C35" s="1" t="s">
        <v>15</v>
      </c>
      <c r="D35" s="1">
        <v>760000</v>
      </c>
      <c r="E35" s="1" t="s">
        <v>16</v>
      </c>
      <c r="F35" s="2">
        <v>45983</v>
      </c>
      <c r="G35" s="1" t="str">
        <f t="shared" si="4"/>
        <v>KEC</v>
      </c>
    </row>
    <row r="36" spans="1:7" x14ac:dyDescent="0.3">
      <c r="A36" s="1" t="s">
        <v>30</v>
      </c>
      <c r="B36" s="1" t="s">
        <v>31</v>
      </c>
      <c r="C36" s="1" t="s">
        <v>17</v>
      </c>
      <c r="D36" s="1">
        <v>780000</v>
      </c>
      <c r="E36" s="1" t="s">
        <v>18</v>
      </c>
      <c r="F36" s="2">
        <v>45994</v>
      </c>
      <c r="G36" s="1" t="str">
        <f t="shared" si="4"/>
        <v>JOT</v>
      </c>
    </row>
    <row r="37" spans="1:7" x14ac:dyDescent="0.3">
      <c r="A37" s="1" t="s">
        <v>30</v>
      </c>
      <c r="B37" s="1" t="s">
        <v>31</v>
      </c>
      <c r="C37" s="1" t="s">
        <v>21</v>
      </c>
      <c r="D37" s="1">
        <v>790000</v>
      </c>
      <c r="E37" s="1" t="s">
        <v>22</v>
      </c>
      <c r="F37" s="2">
        <v>46000</v>
      </c>
      <c r="G37" s="1" t="str">
        <f t="shared" si="4"/>
        <v>CPE</v>
      </c>
    </row>
    <row r="38" spans="1:7" x14ac:dyDescent="0.3">
      <c r="A38" s="1" t="s">
        <v>30</v>
      </c>
      <c r="B38" s="1" t="s">
        <v>31</v>
      </c>
      <c r="C38" s="1" t="s">
        <v>7</v>
      </c>
      <c r="D38" s="1">
        <v>800000</v>
      </c>
      <c r="E38" s="1" t="s">
        <v>8</v>
      </c>
      <c r="F38" s="2">
        <v>46006</v>
      </c>
      <c r="G38" s="1" t="str">
        <f t="shared" si="4"/>
        <v>AEP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Mr_Robot</dc:creator>
  <cp:lastModifiedBy>Shahriare Khan Shahrukh</cp:lastModifiedBy>
  <dcterms:created xsi:type="dcterms:W3CDTF">2026-04-10T17:14:25Z</dcterms:created>
  <dcterms:modified xsi:type="dcterms:W3CDTF">2026-05-16T07:52:42Z</dcterms:modified>
</cp:coreProperties>
</file>