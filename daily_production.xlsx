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2b0c28d632011d/Desktop/Almarjuk/"/>
    </mc:Choice>
  </mc:AlternateContent>
  <xr:revisionPtr revIDLastSave="0" documentId="8_{741B386B-C947-4357-9375-51322BE6DC61}" xr6:coauthVersionLast="47" xr6:coauthVersionMax="47" xr10:uidLastSave="{00000000-0000-0000-0000-000000000000}"/>
  <bookViews>
    <workbookView xWindow="-108" yWindow="-108" windowWidth="23256" windowHeight="12456" xr2:uid="{64EE8C8F-DF6A-44D6-AD63-8C7C197E47B7}"/>
  </bookViews>
  <sheets>
    <sheet name="daily_produ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N2" i="1"/>
  <c r="L7" i="1"/>
  <c r="L6" i="1"/>
  <c r="L5" i="1"/>
  <c r="L4" i="1"/>
  <c r="L3" i="1"/>
  <c r="L2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<sst xmlns="http://schemas.openxmlformats.org/spreadsheetml/2006/main" count="329" uniqueCount="28">
  <si>
    <t>id</t>
  </si>
  <si>
    <t>date</t>
  </si>
  <si>
    <t>numberOfDailyBarrel</t>
  </si>
  <si>
    <t>wellName</t>
  </si>
  <si>
    <t>filterationName</t>
  </si>
  <si>
    <t>oilType</t>
  </si>
  <si>
    <t>productionTime</t>
  </si>
  <si>
    <t>DH-3</t>
  </si>
  <si>
    <t>Oil Station 1</t>
  </si>
  <si>
    <t>Heating Oil</t>
  </si>
  <si>
    <t>Diesel</t>
  </si>
  <si>
    <t>Gasoline</t>
  </si>
  <si>
    <t>Refinery Gas</t>
  </si>
  <si>
    <t>DH-2</t>
  </si>
  <si>
    <t>Jet Fuel</t>
  </si>
  <si>
    <t>DH-1</t>
  </si>
  <si>
    <t>LPG</t>
  </si>
  <si>
    <t>Oil Station 2</t>
  </si>
  <si>
    <t>Oil Station 3</t>
  </si>
  <si>
    <t>Oil Station 4</t>
  </si>
  <si>
    <t>Gas Station 1</t>
  </si>
  <si>
    <t>Gas Station 2</t>
  </si>
  <si>
    <t>Oil Type</t>
  </si>
  <si>
    <t>Total Production</t>
  </si>
  <si>
    <t>Oil Station</t>
  </si>
  <si>
    <t>Total</t>
  </si>
  <si>
    <t xml:space="preserve">  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</si>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</sst>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21" fontId="0" fillId="0" borderId="0" xfId="0" applyNumberForma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Daily Production by Oil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Production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daily_production!$H$2:$H$7</c:f>
              <c:strCache>
                <c:ptCount val="6"/>
                <c:pt idx="0">
                  <c:v>Diesel</c:v>
                </c:pt>
                <c:pt idx="1">
                  <c:v>Gasoline</c:v>
                </c:pt>
                <c:pt idx="2">
                  <c:v>Heating Oil</c:v>
                </c:pt>
                <c:pt idx="3">
                  <c:v>Jet Fuel</c:v>
                </c:pt>
                <c:pt idx="4">
                  <c:v>LPG</c:v>
                </c:pt>
                <c:pt idx="5">
                  <c:v>Refinery Gas</c:v>
                </c:pt>
              </c:strCache>
            </c:strRef>
          </c:cat>
          <c:val>
            <c:numRef>
              <c:f>daily_production!$I$2:$I$7</c:f>
              <c:numCache>
                <c:formatCode>General</c:formatCode>
                <c:ptCount val="6"/>
                <c:pt idx="0">
                  <c:v>3560500</c:v>
                </c:pt>
                <c:pt idx="1">
                  <c:v>6213814</c:v>
                </c:pt>
                <c:pt idx="2">
                  <c:v>8123050</c:v>
                </c:pt>
                <c:pt idx="3">
                  <c:v>8605914</c:v>
                </c:pt>
                <c:pt idx="4">
                  <c:v>5953139</c:v>
                </c:pt>
                <c:pt idx="5">
                  <c:v>7394778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A-4BE6-A473-892B39BAB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5651199"/>
        <c:axId val="1745643999"/>
      </c:barChart>
      <c:catAx>
        <c:axId val="174565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Oil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643999"/>
        <c:crosses val="autoZero"/>
        <c:auto val="1"/>
        <c:lblAlgn val="ctr"/>
        <c:lblOffset val="100"/>
        <c:noMultiLvlLbl val="0"/>
      </c:catAx>
      <c:valAx>
        <c:axId val="17456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Production Volume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65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daily_production!$I$1</c:f>
              <c:strCache>
                <c:ptCount val="1"/>
                <c:pt idx="0">
                  <c:v>Total Production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51-4041-867F-25914BD0FA3F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00-4A6E-9FFB-BE67222CF880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C51-4041-867F-25914BD0FA3F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C51-4041-867F-25914BD0FA3F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800-4A6E-9FFB-BE67222CF880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51-4041-867F-25914BD0FA3F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800-4A6E-9FFB-BE67222CF880}"/>
              </c:ext>
            </c:extLst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800-4A6E-9FFB-BE67222CF880}"/>
              </c:ext>
            </c:extLst>
          </c:dPt>
          <c:dPt>
            <c:idx val="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800-4A6E-9FFB-BE67222CF880}"/>
              </c:ext>
            </c:extLst>
          </c:dPt>
          <c:dPt>
            <c:idx val="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800-4A6E-9FFB-BE67222CF880}"/>
              </c:ext>
            </c:extLst>
          </c:dPt>
          <c:dPt>
            <c:idx val="1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800-4A6E-9FFB-BE67222CF880}"/>
              </c:ext>
            </c:extLst>
          </c:dPt>
          <c:dPt>
            <c:idx val="1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800-4A6E-9FFB-BE67222CF880}"/>
              </c:ext>
            </c:extLst>
          </c:dPt>
          <c:dPt>
            <c:idx val="1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800-4A6E-9FFB-BE67222CF880}"/>
              </c:ext>
            </c:extLst>
          </c:dPt>
          <c:dPt>
            <c:idx val="1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800-4A6E-9FFB-BE67222CF880}"/>
              </c:ext>
            </c:extLst>
          </c:dPt>
          <c:dPt>
            <c:idx val="1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800-4A6E-9FFB-BE67222CF880}"/>
              </c:ext>
            </c:extLst>
          </c:dPt>
          <c:dPt>
            <c:idx val="1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800-4A6E-9FFB-BE67222CF880}"/>
              </c:ext>
            </c:extLst>
          </c:dPt>
          <c:dPt>
            <c:idx val="1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800-4A6E-9FFB-BE67222CF880}"/>
              </c:ext>
            </c:extLst>
          </c:dPt>
          <c:dPt>
            <c:idx val="1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800-4A6E-9FFB-BE67222CF880}"/>
              </c:ext>
            </c:extLst>
          </c:dPt>
          <c:dPt>
            <c:idx val="1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800-4A6E-9FFB-BE67222CF880}"/>
              </c:ext>
            </c:extLst>
          </c:dPt>
          <c:dPt>
            <c:idx val="1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800-4A6E-9FFB-BE67222CF880}"/>
              </c:ext>
            </c:extLst>
          </c:dPt>
          <c:dPt>
            <c:idx val="2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800-4A6E-9FFB-BE67222CF880}"/>
              </c:ext>
            </c:extLst>
          </c:dPt>
          <c:dPt>
            <c:idx val="2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800-4A6E-9FFB-BE67222CF880}"/>
              </c:ext>
            </c:extLst>
          </c:dPt>
          <c:dPt>
            <c:idx val="2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800-4A6E-9FFB-BE67222CF880}"/>
              </c:ext>
            </c:extLst>
          </c:dPt>
          <c:dPt>
            <c:idx val="2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800-4A6E-9FFB-BE67222CF880}"/>
              </c:ext>
            </c:extLst>
          </c:dPt>
          <c:dPt>
            <c:idx val="2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800-4A6E-9FFB-BE67222CF880}"/>
              </c:ext>
            </c:extLst>
          </c:dPt>
          <c:dPt>
            <c:idx val="2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8800-4A6E-9FFB-BE67222CF880}"/>
              </c:ext>
            </c:extLst>
          </c:dPt>
          <c:dPt>
            <c:idx val="2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8800-4A6E-9FFB-BE67222CF880}"/>
              </c:ext>
            </c:extLst>
          </c:dPt>
          <c:dPt>
            <c:idx val="2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8800-4A6E-9FFB-BE67222CF880}"/>
              </c:ext>
            </c:extLst>
          </c:dPt>
          <c:dPt>
            <c:idx val="2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8800-4A6E-9FFB-BE67222CF880}"/>
              </c:ext>
            </c:extLst>
          </c:dPt>
          <c:dPt>
            <c:idx val="2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8800-4A6E-9FFB-BE67222CF880}"/>
              </c:ext>
            </c:extLst>
          </c:dPt>
          <c:dPt>
            <c:idx val="3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8800-4A6E-9FFB-BE67222CF880}"/>
              </c:ext>
            </c:extLst>
          </c:dPt>
          <c:dPt>
            <c:idx val="3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8800-4A6E-9FFB-BE67222CF880}"/>
              </c:ext>
            </c:extLst>
          </c:dPt>
          <c:dPt>
            <c:idx val="3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8800-4A6E-9FFB-BE67222CF880}"/>
              </c:ext>
            </c:extLst>
          </c:dPt>
          <c:dPt>
            <c:idx val="3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8800-4A6E-9FFB-BE67222CF880}"/>
              </c:ext>
            </c:extLst>
          </c:dPt>
          <c:dPt>
            <c:idx val="3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8800-4A6E-9FFB-BE67222CF880}"/>
              </c:ext>
            </c:extLst>
          </c:dPt>
          <c:dPt>
            <c:idx val="3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8800-4A6E-9FFB-BE67222CF880}"/>
              </c:ext>
            </c:extLst>
          </c:dPt>
          <c:dPt>
            <c:idx val="3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8800-4A6E-9FFB-BE67222CF880}"/>
              </c:ext>
            </c:extLst>
          </c:dPt>
          <c:dPt>
            <c:idx val="3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8800-4A6E-9FFB-BE67222CF880}"/>
              </c:ext>
            </c:extLst>
          </c:dPt>
          <c:dPt>
            <c:idx val="3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8800-4A6E-9FFB-BE67222CF880}"/>
              </c:ext>
            </c:extLst>
          </c:dPt>
          <c:dPt>
            <c:idx val="3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8800-4A6E-9FFB-BE67222CF880}"/>
              </c:ext>
            </c:extLst>
          </c:dPt>
          <c:dPt>
            <c:idx val="4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8800-4A6E-9FFB-BE67222CF880}"/>
              </c:ext>
            </c:extLst>
          </c:dPt>
          <c:dPt>
            <c:idx val="4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8800-4A6E-9FFB-BE67222CF880}"/>
              </c:ext>
            </c:extLst>
          </c:dPt>
          <c:dPt>
            <c:idx val="4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8800-4A6E-9FFB-BE67222CF880}"/>
              </c:ext>
            </c:extLst>
          </c:dPt>
          <c:dPt>
            <c:idx val="4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8800-4A6E-9FFB-BE67222CF880}"/>
              </c:ext>
            </c:extLst>
          </c:dPt>
          <c:dPt>
            <c:idx val="4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8800-4A6E-9FFB-BE67222CF880}"/>
              </c:ext>
            </c:extLst>
          </c:dPt>
          <c:dPt>
            <c:idx val="4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8800-4A6E-9FFB-BE67222CF880}"/>
              </c:ext>
            </c:extLst>
          </c:dPt>
          <c:dPt>
            <c:idx val="4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8800-4A6E-9FFB-BE67222CF880}"/>
              </c:ext>
            </c:extLst>
          </c:dPt>
          <c:dPt>
            <c:idx val="4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8800-4A6E-9FFB-BE67222CF880}"/>
              </c:ext>
            </c:extLst>
          </c:dPt>
          <c:dPt>
            <c:idx val="4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8800-4A6E-9FFB-BE67222CF880}"/>
              </c:ext>
            </c:extLst>
          </c:dPt>
          <c:dPt>
            <c:idx val="4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8800-4A6E-9FFB-BE67222CF880}"/>
              </c:ext>
            </c:extLst>
          </c:dPt>
          <c:dPt>
            <c:idx val="5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8800-4A6E-9FFB-BE67222CF880}"/>
              </c:ext>
            </c:extLst>
          </c:dPt>
          <c:dPt>
            <c:idx val="5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8800-4A6E-9FFB-BE67222CF880}"/>
              </c:ext>
            </c:extLst>
          </c:dPt>
          <c:dPt>
            <c:idx val="5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8800-4A6E-9FFB-BE67222CF880}"/>
              </c:ext>
            </c:extLst>
          </c:dPt>
          <c:dPt>
            <c:idx val="5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8800-4A6E-9FFB-BE67222CF880}"/>
              </c:ext>
            </c:extLst>
          </c:dPt>
          <c:dPt>
            <c:idx val="5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8800-4A6E-9FFB-BE67222CF880}"/>
              </c:ext>
            </c:extLst>
          </c:dPt>
          <c:dPt>
            <c:idx val="5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8800-4A6E-9FFB-BE67222CF880}"/>
              </c:ext>
            </c:extLst>
          </c:dPt>
          <c:dLbls>
            <c:dLbl>
              <c:idx val="0"/>
              <c:layout>
                <c:manualLayout>
                  <c:x val="-7.4742670066597544E-2"/>
                  <c:y val="0.1433761569277524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92360430035213"/>
                      <c:h val="0.15281151596941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C51-4041-867F-25914BD0FA3F}"/>
                </c:ext>
              </c:extLst>
            </c:dLbl>
            <c:dLbl>
              <c:idx val="2"/>
              <c:layout>
                <c:manualLayout>
                  <c:x val="-0.17069661221172977"/>
                  <c:y val="-0.1486449821302701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51-4041-867F-25914BD0FA3F}"/>
                </c:ext>
              </c:extLst>
            </c:dLbl>
            <c:dLbl>
              <c:idx val="3"/>
              <c:layout>
                <c:manualLayout>
                  <c:x val="0.11815740559120501"/>
                  <c:y val="-0.1552102039876596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51-4041-867F-25914BD0FA3F}"/>
                </c:ext>
              </c:extLst>
            </c:dLbl>
            <c:dLbl>
              <c:idx val="5"/>
              <c:layout>
                <c:manualLayout>
                  <c:x val="0.1331873884981459"/>
                  <c:y val="0.1778351592690589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51-4041-867F-25914BD0FA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daily_production!$H$2:$H$101</c15:sqref>
                  </c15:fullRef>
                </c:ext>
              </c:extLst>
              <c:f>(daily_production!$H$2:$H$7,daily_production!$H$52:$H$101)</c:f>
              <c:strCache>
                <c:ptCount val="6"/>
                <c:pt idx="0">
                  <c:v>Diesel</c:v>
                </c:pt>
                <c:pt idx="1">
                  <c:v>Gasoline</c:v>
                </c:pt>
                <c:pt idx="2">
                  <c:v>Heating Oil</c:v>
                </c:pt>
                <c:pt idx="3">
                  <c:v>Jet Fuel</c:v>
                </c:pt>
                <c:pt idx="4">
                  <c:v>LPG</c:v>
                </c:pt>
                <c:pt idx="5">
                  <c:v>Refinery Gas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daily_production!$I$2:$I$101</c15:sqref>
                  </c15:fullRef>
                </c:ext>
              </c:extLst>
              <c:f>(daily_production!$I$2:$I$7,daily_production!$I$52:$I$101)</c:f>
              <c:numCache>
                <c:formatCode>General</c:formatCode>
                <c:ptCount val="56"/>
                <c:pt idx="0">
                  <c:v>3560500</c:v>
                </c:pt>
                <c:pt idx="1">
                  <c:v>6213814</c:v>
                </c:pt>
                <c:pt idx="2">
                  <c:v>8123050</c:v>
                </c:pt>
                <c:pt idx="3">
                  <c:v>8605914</c:v>
                </c:pt>
                <c:pt idx="4">
                  <c:v>5953139</c:v>
                </c:pt>
                <c:pt idx="5">
                  <c:v>7394778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FC51-4041-867F-25914BD0FA3F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193</xdr:colOff>
      <xdr:row>8</xdr:row>
      <xdr:rowOff>6627</xdr:rowOff>
    </xdr:from>
    <xdr:to>
      <xdr:col>12</xdr:col>
      <xdr:colOff>13252</xdr:colOff>
      <xdr:row>23</xdr:row>
      <xdr:rowOff>60415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A0E4D-A687-8908-1AB8-2CE05C899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</xdr:colOff>
      <xdr:row>7</xdr:row>
      <xdr:rowOff>171450</xdr:rowOff>
    </xdr:from>
    <xdr:to>
      <xdr:col>19</xdr:col>
      <xdr:colOff>68580</xdr:colOff>
      <xdr:row>23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57FAA7-F234-F729-DBC2-96FE10C5F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DCA7-5A7E-4A6C-AAF4-8142635E9C0A}">
  <dimension ref="A1:N101"/>
  <sheetViews>
    <sheetView tabSelected="1" zoomScale="55" zoomScaleNormal="55" workbookViewId="0">
      <selection activeCell="N5" sqref="N5"/>
    </sheetView>
  </sheetViews>
  <sheetFormatPr defaultRowHeight="14.4" x14ac:dyDescent="0.3"/>
  <cols>
    <col min="1" max="1" width="8.88671875" style="1"/>
    <col min="2" max="2" width="22.21875" style="1" customWidth="1"/>
    <col min="3" max="3" width="22.77734375" style="1" customWidth="1"/>
    <col min="4" max="4" width="18.44140625" style="1" customWidth="1"/>
    <col min="5" max="5" width="12.88671875" style="1" customWidth="1"/>
    <col min="6" max="6" width="15.6640625" style="1" customWidth="1"/>
    <col min="7" max="7" width="14.88671875" style="1" customWidth="1"/>
    <col min="9" max="9" width="17.109375" customWidth="1"/>
    <col min="11" max="11" width="18.77734375" customWidth="1"/>
    <col min="12" max="12" width="19.5546875" customWidth="1"/>
    <col min="14" max="14" width="17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6</v>
      </c>
      <c r="H1" s="1" t="s">
        <v>22</v>
      </c>
      <c r="I1" s="1" t="s">
        <v>23</v>
      </c>
      <c r="K1" s="1" t="s">
        <v>24</v>
      </c>
      <c r="L1" s="1" t="s">
        <v>25</v>
      </c>
      <c r="M1" s="1" t="s">
        <v>27</v>
      </c>
      <c r="N1" s="1" t="s">
        <v>25</v>
      </c>
    </row>
    <row r="2" spans="1:14" x14ac:dyDescent="0.3">
      <c r="A2" s="1">
        <v>166</v>
      </c>
      <c r="B2" s="2">
        <v>46009</v>
      </c>
      <c r="C2" s="1">
        <v>391601</v>
      </c>
      <c r="D2" s="1" t="s">
        <v>7</v>
      </c>
      <c r="E2" s="1" t="s">
        <v>8</v>
      </c>
      <c r="F2" s="1" t="s">
        <v>10</v>
      </c>
      <c r="G2" s="3">
        <v>0.54780092592592589</v>
      </c>
      <c r="H2" t="s">
        <v>10</v>
      </c>
      <c r="I2">
        <f>SUMIF(F:F,"Diesel",C:C)</f>
        <v>3560500</v>
      </c>
      <c r="K2" t="s">
        <v>8</v>
      </c>
      <c r="L2">
        <f>SUMIF(E:E,"Oil Station 1",C:C)</f>
        <v>7980830</v>
      </c>
      <c r="M2" t="s">
        <v>15</v>
      </c>
      <c r="N2">
        <f>SUMIF(D:D,"DH-1",C:C)</f>
        <v>14202181</v>
      </c>
    </row>
    <row r="3" spans="1:14" x14ac:dyDescent="0.3">
      <c r="A3" s="1">
        <v>168</v>
      </c>
      <c r="B3" s="2">
        <v>46038</v>
      </c>
      <c r="C3" s="1">
        <v>356972</v>
      </c>
      <c r="D3" s="1" t="s">
        <v>7</v>
      </c>
      <c r="E3" s="1" t="s">
        <v>8</v>
      </c>
      <c r="F3" s="1" t="s">
        <v>10</v>
      </c>
      <c r="G3" s="3">
        <v>0.84682870370370367</v>
      </c>
      <c r="H3" t="s">
        <v>11</v>
      </c>
      <c r="I3">
        <f>SUMIF(F:F,"Gasoline",C:C)</f>
        <v>6213814</v>
      </c>
      <c r="K3" t="s">
        <v>17</v>
      </c>
      <c r="L3">
        <f>SUMIF(E:E,"Oil Station 2",C:C)</f>
        <v>7442987</v>
      </c>
      <c r="M3" t="s">
        <v>13</v>
      </c>
      <c r="N3">
        <f>SUMIF(D:D,"DH-2",C:C)</f>
        <v>16444765</v>
      </c>
    </row>
    <row r="4" spans="1:14" x14ac:dyDescent="0.3">
      <c r="A4" s="1">
        <v>181</v>
      </c>
      <c r="B4" s="2">
        <v>46046</v>
      </c>
      <c r="C4" s="1">
        <v>426035</v>
      </c>
      <c r="D4" s="1" t="s">
        <v>7</v>
      </c>
      <c r="E4" s="1" t="s">
        <v>8</v>
      </c>
      <c r="F4" s="1" t="s">
        <v>10</v>
      </c>
      <c r="G4" s="3">
        <v>0.38667824074074075</v>
      </c>
      <c r="H4" t="s">
        <v>9</v>
      </c>
      <c r="I4">
        <f>SUMIF(F:F,"Heating Oil",C:C)</f>
        <v>8123050</v>
      </c>
      <c r="K4" t="s">
        <v>18</v>
      </c>
      <c r="L4">
        <f>SUMIF(E:E,"Oil Station 3",C:C)</f>
        <v>5288163</v>
      </c>
      <c r="M4" t="s">
        <v>7</v>
      </c>
      <c r="N4">
        <f>SUMIF(D:D,"DH-3",C:C)</f>
        <v>9575863</v>
      </c>
    </row>
    <row r="5" spans="1:14" x14ac:dyDescent="0.3">
      <c r="A5" s="1">
        <v>194</v>
      </c>
      <c r="B5" s="2">
        <v>45979</v>
      </c>
      <c r="C5" s="1">
        <v>399960</v>
      </c>
      <c r="D5" s="1" t="s">
        <v>7</v>
      </c>
      <c r="E5" s="1" t="s">
        <v>8</v>
      </c>
      <c r="F5" s="1" t="s">
        <v>10</v>
      </c>
      <c r="G5" s="3">
        <v>0.32302083333333331</v>
      </c>
      <c r="H5" t="s">
        <v>14</v>
      </c>
      <c r="I5">
        <f>SUMIF(F:F,"Jet Fuel",C:C)</f>
        <v>8605914</v>
      </c>
      <c r="K5" t="s">
        <v>19</v>
      </c>
      <c r="L5">
        <f>SUMIF(E:E,"Oil Station 4",C:C)</f>
        <v>9562165</v>
      </c>
    </row>
    <row r="6" spans="1:14" x14ac:dyDescent="0.3">
      <c r="A6" s="1">
        <v>222</v>
      </c>
      <c r="B6" s="2">
        <v>45972</v>
      </c>
      <c r="C6" s="1">
        <v>329194</v>
      </c>
      <c r="D6" s="1" t="s">
        <v>7</v>
      </c>
      <c r="E6" s="1" t="s">
        <v>8</v>
      </c>
      <c r="F6" s="1" t="s">
        <v>10</v>
      </c>
      <c r="G6" s="3">
        <v>0.10314814814814814</v>
      </c>
      <c r="H6" t="s">
        <v>16</v>
      </c>
      <c r="I6">
        <f>SUMIF(F:F,"LPG",C:C)</f>
        <v>5953139</v>
      </c>
      <c r="K6" t="s">
        <v>20</v>
      </c>
      <c r="L6">
        <f>SUMIF(E:E,"Gas Station 1",C:C)</f>
        <v>5584861</v>
      </c>
    </row>
    <row r="7" spans="1:14" x14ac:dyDescent="0.3">
      <c r="A7" s="1">
        <v>146</v>
      </c>
      <c r="B7" s="2">
        <v>46007</v>
      </c>
      <c r="C7" s="1">
        <v>422512</v>
      </c>
      <c r="D7" s="1" t="s">
        <v>13</v>
      </c>
      <c r="E7" s="1" t="s">
        <v>8</v>
      </c>
      <c r="F7" s="1" t="s">
        <v>10</v>
      </c>
      <c r="G7" s="3">
        <v>0.64506944444444447</v>
      </c>
      <c r="H7" t="s">
        <v>12</v>
      </c>
      <c r="I7">
        <f>SUMIF(F:F,"Refinery Gas",C:C)</f>
        <v>7394778</v>
      </c>
      <c r="K7" t="s">
        <v>21</v>
      </c>
      <c r="L7">
        <f>SUMIF(E:E,"Gas Station 2",C:C)</f>
        <v>4363803</v>
      </c>
    </row>
    <row r="8" spans="1:14" x14ac:dyDescent="0.3">
      <c r="A8" s="1">
        <v>148</v>
      </c>
      <c r="B8" s="2">
        <v>46018</v>
      </c>
      <c r="C8" s="1">
        <v>486129</v>
      </c>
      <c r="D8" s="1" t="s">
        <v>13</v>
      </c>
      <c r="E8" s="1" t="s">
        <v>8</v>
      </c>
      <c r="F8" s="1" t="s">
        <v>10</v>
      </c>
      <c r="G8" s="3">
        <v>0.97879629629629628</v>
      </c>
    </row>
    <row r="9" spans="1:14" x14ac:dyDescent="0.3">
      <c r="A9" s="1">
        <v>158</v>
      </c>
      <c r="B9" s="2">
        <v>46024</v>
      </c>
      <c r="C9" s="1">
        <v>357991</v>
      </c>
      <c r="D9" s="1" t="s">
        <v>13</v>
      </c>
      <c r="E9" s="1" t="s">
        <v>8</v>
      </c>
      <c r="F9" s="1" t="s">
        <v>10</v>
      </c>
      <c r="G9" s="3">
        <v>0.20309027777777777</v>
      </c>
    </row>
    <row r="10" spans="1:14" x14ac:dyDescent="0.3">
      <c r="A10" s="1">
        <v>191</v>
      </c>
      <c r="B10" s="2">
        <v>46003</v>
      </c>
      <c r="C10" s="1">
        <v>390106</v>
      </c>
      <c r="D10" s="1" t="s">
        <v>13</v>
      </c>
      <c r="E10" s="1" t="s">
        <v>8</v>
      </c>
      <c r="F10" s="1" t="s">
        <v>10</v>
      </c>
      <c r="G10" s="3">
        <v>7.1851851851851847E-2</v>
      </c>
    </row>
    <row r="11" spans="1:14" x14ac:dyDescent="0.3">
      <c r="A11" s="1">
        <v>196</v>
      </c>
      <c r="B11" s="2">
        <v>45997</v>
      </c>
      <c r="C11" s="1">
        <v>317225</v>
      </c>
      <c r="D11" s="1" t="s">
        <v>13</v>
      </c>
      <c r="E11" s="1" t="s">
        <v>8</v>
      </c>
      <c r="F11" s="1" t="s">
        <v>11</v>
      </c>
      <c r="G11" s="3">
        <v>0.21354166666666666</v>
      </c>
    </row>
    <row r="12" spans="1:14" x14ac:dyDescent="0.3">
      <c r="A12" s="1">
        <v>205</v>
      </c>
      <c r="B12" s="2">
        <v>45998</v>
      </c>
      <c r="C12" s="1">
        <v>472180</v>
      </c>
      <c r="D12" s="1" t="s">
        <v>13</v>
      </c>
      <c r="E12" s="1" t="s">
        <v>8</v>
      </c>
      <c r="F12" s="1" t="s">
        <v>11</v>
      </c>
      <c r="G12" s="3">
        <v>0.35903935185185187</v>
      </c>
    </row>
    <row r="13" spans="1:14" x14ac:dyDescent="0.3">
      <c r="A13" s="1">
        <v>209</v>
      </c>
      <c r="B13" s="2">
        <v>45984</v>
      </c>
      <c r="C13" s="1">
        <v>374169</v>
      </c>
      <c r="D13" s="1" t="s">
        <v>13</v>
      </c>
      <c r="E13" s="1" t="s">
        <v>8</v>
      </c>
      <c r="F13" s="1" t="s">
        <v>11</v>
      </c>
      <c r="G13" s="3">
        <v>0.32365740740740739</v>
      </c>
    </row>
    <row r="14" spans="1:14" x14ac:dyDescent="0.3">
      <c r="A14" s="1">
        <v>215</v>
      </c>
      <c r="B14" s="2">
        <v>46052</v>
      </c>
      <c r="C14" s="1">
        <v>444150</v>
      </c>
      <c r="D14" s="1" t="s">
        <v>13</v>
      </c>
      <c r="E14" s="1" t="s">
        <v>8</v>
      </c>
      <c r="F14" s="1" t="s">
        <v>11</v>
      </c>
      <c r="G14" s="3">
        <v>0.17874999999999999</v>
      </c>
    </row>
    <row r="15" spans="1:14" x14ac:dyDescent="0.3">
      <c r="A15" s="1">
        <v>219</v>
      </c>
      <c r="B15" s="2">
        <v>45979</v>
      </c>
      <c r="C15" s="1">
        <v>346109</v>
      </c>
      <c r="D15" s="1" t="s">
        <v>13</v>
      </c>
      <c r="E15" s="1" t="s">
        <v>8</v>
      </c>
      <c r="F15" s="1" t="s">
        <v>11</v>
      </c>
      <c r="G15" s="3">
        <v>0.23430555555555554</v>
      </c>
    </row>
    <row r="16" spans="1:14" x14ac:dyDescent="0.3">
      <c r="A16" s="1">
        <v>154</v>
      </c>
      <c r="B16" s="2">
        <v>46025</v>
      </c>
      <c r="C16" s="1">
        <v>393870</v>
      </c>
      <c r="D16" s="1" t="s">
        <v>15</v>
      </c>
      <c r="E16" s="1" t="s">
        <v>8</v>
      </c>
      <c r="F16" s="1" t="s">
        <v>11</v>
      </c>
      <c r="G16" s="3">
        <v>0.67202546296296295</v>
      </c>
    </row>
    <row r="17" spans="1:10" x14ac:dyDescent="0.3">
      <c r="A17" s="1">
        <v>184</v>
      </c>
      <c r="B17" s="2">
        <v>46003</v>
      </c>
      <c r="C17" s="1">
        <v>464516</v>
      </c>
      <c r="D17" s="1" t="s">
        <v>15</v>
      </c>
      <c r="E17" s="1" t="s">
        <v>8</v>
      </c>
      <c r="F17" s="1" t="s">
        <v>11</v>
      </c>
      <c r="G17" s="3">
        <v>0.67906250000000001</v>
      </c>
    </row>
    <row r="18" spans="1:10" x14ac:dyDescent="0.3">
      <c r="A18" s="1">
        <v>189</v>
      </c>
      <c r="B18" s="2">
        <v>46008</v>
      </c>
      <c r="C18" s="1">
        <v>447890</v>
      </c>
      <c r="D18" s="1" t="s">
        <v>15</v>
      </c>
      <c r="E18" s="1" t="s">
        <v>8</v>
      </c>
      <c r="F18" s="1" t="s">
        <v>11</v>
      </c>
      <c r="G18" s="3">
        <v>0.28567129629629628</v>
      </c>
    </row>
    <row r="19" spans="1:10" x14ac:dyDescent="0.3">
      <c r="A19" s="1">
        <v>190</v>
      </c>
      <c r="B19" s="2">
        <v>46014</v>
      </c>
      <c r="C19" s="1">
        <v>401717</v>
      </c>
      <c r="D19" s="1" t="s">
        <v>15</v>
      </c>
      <c r="E19" s="1" t="s">
        <v>8</v>
      </c>
      <c r="F19" s="1" t="s">
        <v>11</v>
      </c>
      <c r="G19" s="3">
        <v>0.1725925925925926</v>
      </c>
    </row>
    <row r="20" spans="1:10" x14ac:dyDescent="0.3">
      <c r="A20" s="1">
        <v>192</v>
      </c>
      <c r="B20" s="2">
        <v>46011</v>
      </c>
      <c r="C20" s="1">
        <v>361077</v>
      </c>
      <c r="D20" s="1" t="s">
        <v>15</v>
      </c>
      <c r="E20" s="1" t="s">
        <v>8</v>
      </c>
      <c r="F20" s="1" t="s">
        <v>11</v>
      </c>
      <c r="G20" s="3">
        <v>0.20820601851851853</v>
      </c>
    </row>
    <row r="21" spans="1:10" x14ac:dyDescent="0.3">
      <c r="A21" s="1">
        <v>203</v>
      </c>
      <c r="B21" s="2">
        <v>45987</v>
      </c>
      <c r="C21" s="1">
        <v>397427</v>
      </c>
      <c r="D21" s="1" t="s">
        <v>15</v>
      </c>
      <c r="E21" s="1" t="s">
        <v>8</v>
      </c>
      <c r="F21" s="1" t="s">
        <v>11</v>
      </c>
      <c r="G21" s="3">
        <v>2.7662037037037039E-3</v>
      </c>
    </row>
    <row r="22" spans="1:10" x14ac:dyDescent="0.3">
      <c r="A22" s="1">
        <v>159</v>
      </c>
      <c r="B22" s="2">
        <v>45983</v>
      </c>
      <c r="C22" s="1">
        <v>394785</v>
      </c>
      <c r="D22" s="1" t="s">
        <v>7</v>
      </c>
      <c r="E22" s="1" t="s">
        <v>17</v>
      </c>
      <c r="F22" s="1" t="s">
        <v>11</v>
      </c>
      <c r="G22" s="3">
        <v>9.2048611111111109E-2</v>
      </c>
    </row>
    <row r="23" spans="1:10" x14ac:dyDescent="0.3">
      <c r="A23" s="1">
        <v>185</v>
      </c>
      <c r="B23" s="2">
        <v>46003</v>
      </c>
      <c r="C23" s="1">
        <v>483184</v>
      </c>
      <c r="D23" s="1" t="s">
        <v>7</v>
      </c>
      <c r="E23" s="1" t="s">
        <v>17</v>
      </c>
      <c r="F23" s="1" t="s">
        <v>11</v>
      </c>
      <c r="G23" s="3">
        <v>0.28392361111111108</v>
      </c>
    </row>
    <row r="24" spans="1:10" x14ac:dyDescent="0.3">
      <c r="A24" s="1">
        <v>186</v>
      </c>
      <c r="B24" s="2">
        <v>46027</v>
      </c>
      <c r="C24" s="1">
        <v>455306</v>
      </c>
      <c r="D24" s="1" t="s">
        <v>7</v>
      </c>
      <c r="E24" s="1" t="s">
        <v>17</v>
      </c>
      <c r="F24" s="1" t="s">
        <v>11</v>
      </c>
      <c r="G24" s="3">
        <v>0.78739583333333329</v>
      </c>
    </row>
    <row r="25" spans="1:10" x14ac:dyDescent="0.3">
      <c r="A25" s="1">
        <v>195</v>
      </c>
      <c r="B25" s="2">
        <v>45989</v>
      </c>
      <c r="C25" s="1">
        <v>460209</v>
      </c>
      <c r="D25" s="1" t="s">
        <v>7</v>
      </c>
      <c r="E25" s="1" t="s">
        <v>17</v>
      </c>
      <c r="F25" s="1" t="s">
        <v>11</v>
      </c>
      <c r="G25" s="3">
        <v>0.73158564814814819</v>
      </c>
    </row>
    <row r="26" spans="1:10" x14ac:dyDescent="0.3">
      <c r="A26" s="1">
        <v>200</v>
      </c>
      <c r="B26" s="2">
        <v>45984</v>
      </c>
      <c r="C26" s="1">
        <v>312212</v>
      </c>
      <c r="D26" s="1" t="s">
        <v>7</v>
      </c>
      <c r="E26" s="1" t="s">
        <v>17</v>
      </c>
      <c r="F26" s="1" t="s">
        <v>9</v>
      </c>
      <c r="G26" s="3">
        <v>0.73071759259259261</v>
      </c>
      <c r="J26" t="s">
        <v>26</v>
      </c>
    </row>
    <row r="27" spans="1:10" x14ac:dyDescent="0.3">
      <c r="A27" s="1">
        <v>211</v>
      </c>
      <c r="B27" s="2">
        <v>45994</v>
      </c>
      <c r="C27" s="1">
        <v>460964</v>
      </c>
      <c r="D27" s="1" t="s">
        <v>7</v>
      </c>
      <c r="E27" s="1" t="s">
        <v>17</v>
      </c>
      <c r="F27" s="1" t="s">
        <v>9</v>
      </c>
      <c r="G27" s="3">
        <v>0.93866898148148148</v>
      </c>
    </row>
    <row r="28" spans="1:10" x14ac:dyDescent="0.3">
      <c r="A28" s="1">
        <v>141</v>
      </c>
      <c r="B28" s="2">
        <v>46016</v>
      </c>
      <c r="C28" s="1">
        <v>373295</v>
      </c>
      <c r="D28" s="1" t="s">
        <v>13</v>
      </c>
      <c r="E28" s="1" t="s">
        <v>17</v>
      </c>
      <c r="F28" s="1" t="s">
        <v>9</v>
      </c>
      <c r="G28" s="3">
        <v>0.60203703703703704</v>
      </c>
    </row>
    <row r="29" spans="1:10" x14ac:dyDescent="0.3">
      <c r="A29" s="1">
        <v>143</v>
      </c>
      <c r="B29" s="2">
        <v>45983</v>
      </c>
      <c r="C29" s="1">
        <v>458850</v>
      </c>
      <c r="D29" s="1" t="s">
        <v>13</v>
      </c>
      <c r="E29" s="1" t="s">
        <v>17</v>
      </c>
      <c r="F29" s="1" t="s">
        <v>9</v>
      </c>
      <c r="G29" s="3">
        <v>0.41081018518518519</v>
      </c>
    </row>
    <row r="30" spans="1:10" x14ac:dyDescent="0.3">
      <c r="A30" s="1">
        <v>145</v>
      </c>
      <c r="B30" s="2">
        <v>46031</v>
      </c>
      <c r="C30" s="1">
        <v>313598</v>
      </c>
      <c r="D30" s="1" t="s">
        <v>13</v>
      </c>
      <c r="E30" s="1" t="s">
        <v>17</v>
      </c>
      <c r="F30" s="1" t="s">
        <v>9</v>
      </c>
      <c r="G30" s="3">
        <v>0.71915509259259258</v>
      </c>
    </row>
    <row r="31" spans="1:10" x14ac:dyDescent="0.3">
      <c r="A31" s="1">
        <v>160</v>
      </c>
      <c r="B31" s="2">
        <v>46049</v>
      </c>
      <c r="C31" s="1">
        <v>331735</v>
      </c>
      <c r="D31" s="1" t="s">
        <v>13</v>
      </c>
      <c r="E31" s="1" t="s">
        <v>17</v>
      </c>
      <c r="F31" s="1" t="s">
        <v>9</v>
      </c>
      <c r="G31" s="3">
        <v>0.11248842592592592</v>
      </c>
    </row>
    <row r="32" spans="1:10" x14ac:dyDescent="0.3">
      <c r="A32" s="1">
        <v>176</v>
      </c>
      <c r="B32" s="2">
        <v>46034</v>
      </c>
      <c r="C32" s="1">
        <v>472557</v>
      </c>
      <c r="D32" s="1" t="s">
        <v>13</v>
      </c>
      <c r="E32" s="1" t="s">
        <v>17</v>
      </c>
      <c r="F32" s="1" t="s">
        <v>9</v>
      </c>
      <c r="G32" s="3">
        <v>0.22296296296296297</v>
      </c>
    </row>
    <row r="33" spans="1:7" x14ac:dyDescent="0.3">
      <c r="A33" s="1">
        <v>187</v>
      </c>
      <c r="B33" s="2">
        <v>46047</v>
      </c>
      <c r="C33" s="1">
        <v>334363</v>
      </c>
      <c r="D33" s="1" t="s">
        <v>13</v>
      </c>
      <c r="E33" s="1" t="s">
        <v>17</v>
      </c>
      <c r="F33" s="1" t="s">
        <v>9</v>
      </c>
      <c r="G33" s="3">
        <v>0.83447916666666666</v>
      </c>
    </row>
    <row r="34" spans="1:7" x14ac:dyDescent="0.3">
      <c r="A34" s="1">
        <v>197</v>
      </c>
      <c r="B34" s="2">
        <v>46016</v>
      </c>
      <c r="C34" s="1">
        <v>417800</v>
      </c>
      <c r="D34" s="1" t="s">
        <v>13</v>
      </c>
      <c r="E34" s="1" t="s">
        <v>17</v>
      </c>
      <c r="F34" s="1" t="s">
        <v>9</v>
      </c>
      <c r="G34" s="3">
        <v>0.81236111111111109</v>
      </c>
    </row>
    <row r="35" spans="1:7" x14ac:dyDescent="0.3">
      <c r="A35" s="1">
        <v>132</v>
      </c>
      <c r="B35" s="2">
        <v>46032</v>
      </c>
      <c r="C35" s="1">
        <v>339043</v>
      </c>
      <c r="D35" s="1" t="s">
        <v>15</v>
      </c>
      <c r="E35" s="1" t="s">
        <v>17</v>
      </c>
      <c r="F35" s="1" t="s">
        <v>9</v>
      </c>
      <c r="G35" s="3">
        <v>0.37171296296296297</v>
      </c>
    </row>
    <row r="36" spans="1:7" x14ac:dyDescent="0.3">
      <c r="A36" s="1">
        <v>156</v>
      </c>
      <c r="B36" s="2">
        <v>45976</v>
      </c>
      <c r="C36" s="1">
        <v>459678</v>
      </c>
      <c r="D36" s="1" t="s">
        <v>15</v>
      </c>
      <c r="E36" s="1" t="s">
        <v>17</v>
      </c>
      <c r="F36" s="1" t="s">
        <v>9</v>
      </c>
      <c r="G36" s="3">
        <v>0.12087962962962963</v>
      </c>
    </row>
    <row r="37" spans="1:7" x14ac:dyDescent="0.3">
      <c r="A37" s="1">
        <v>174</v>
      </c>
      <c r="B37" s="2">
        <v>46018</v>
      </c>
      <c r="C37" s="1">
        <v>351808</v>
      </c>
      <c r="D37" s="1" t="s">
        <v>15</v>
      </c>
      <c r="E37" s="1" t="s">
        <v>17</v>
      </c>
      <c r="F37" s="1" t="s">
        <v>9</v>
      </c>
      <c r="G37" s="3">
        <v>0.85855324074074069</v>
      </c>
    </row>
    <row r="38" spans="1:7" x14ac:dyDescent="0.3">
      <c r="A38" s="1">
        <v>179</v>
      </c>
      <c r="B38" s="2">
        <v>46051</v>
      </c>
      <c r="C38" s="1">
        <v>320287</v>
      </c>
      <c r="D38" s="1" t="s">
        <v>15</v>
      </c>
      <c r="E38" s="1" t="s">
        <v>17</v>
      </c>
      <c r="F38" s="1" t="s">
        <v>9</v>
      </c>
      <c r="G38" s="3">
        <v>0.28226851851851853</v>
      </c>
    </row>
    <row r="39" spans="1:7" x14ac:dyDescent="0.3">
      <c r="A39" s="1">
        <v>188</v>
      </c>
      <c r="B39" s="2">
        <v>46025</v>
      </c>
      <c r="C39" s="1">
        <v>350771</v>
      </c>
      <c r="D39" s="1" t="s">
        <v>15</v>
      </c>
      <c r="E39" s="1" t="s">
        <v>17</v>
      </c>
      <c r="F39" s="1" t="s">
        <v>9</v>
      </c>
      <c r="G39" s="3">
        <v>0.66082175925925923</v>
      </c>
    </row>
    <row r="40" spans="1:7" x14ac:dyDescent="0.3">
      <c r="A40" s="1">
        <v>221</v>
      </c>
      <c r="B40" s="2">
        <v>46017</v>
      </c>
      <c r="C40" s="1">
        <v>352542</v>
      </c>
      <c r="D40" s="1" t="s">
        <v>15</v>
      </c>
      <c r="E40" s="1" t="s">
        <v>17</v>
      </c>
      <c r="F40" s="1" t="s">
        <v>9</v>
      </c>
      <c r="G40" s="3">
        <v>0.84957175925925921</v>
      </c>
    </row>
    <row r="41" spans="1:7" x14ac:dyDescent="0.3">
      <c r="A41" s="1">
        <v>151</v>
      </c>
      <c r="B41" s="2">
        <v>45986</v>
      </c>
      <c r="C41" s="1">
        <v>464059</v>
      </c>
      <c r="D41" s="1" t="s">
        <v>7</v>
      </c>
      <c r="E41" s="1" t="s">
        <v>18</v>
      </c>
      <c r="F41" s="1" t="s">
        <v>9</v>
      </c>
      <c r="G41" s="3">
        <v>0.83399305555555558</v>
      </c>
    </row>
    <row r="42" spans="1:7" x14ac:dyDescent="0.3">
      <c r="A42" s="1">
        <v>155</v>
      </c>
      <c r="B42" s="2">
        <v>46032</v>
      </c>
      <c r="C42" s="1">
        <v>368829</v>
      </c>
      <c r="D42" s="1" t="s">
        <v>7</v>
      </c>
      <c r="E42" s="1" t="s">
        <v>18</v>
      </c>
      <c r="F42" s="1" t="s">
        <v>9</v>
      </c>
      <c r="G42" s="3">
        <v>0.22171296296296297</v>
      </c>
    </row>
    <row r="43" spans="1:7" x14ac:dyDescent="0.3">
      <c r="A43" s="1">
        <v>131</v>
      </c>
      <c r="B43" s="2">
        <v>45993</v>
      </c>
      <c r="C43" s="1">
        <v>399100</v>
      </c>
      <c r="D43" s="1" t="s">
        <v>13</v>
      </c>
      <c r="E43" s="1" t="s">
        <v>18</v>
      </c>
      <c r="F43" s="1" t="s">
        <v>9</v>
      </c>
      <c r="G43" s="3">
        <v>0.71546296296296297</v>
      </c>
    </row>
    <row r="44" spans="1:7" x14ac:dyDescent="0.3">
      <c r="A44" s="1">
        <v>149</v>
      </c>
      <c r="B44" s="2">
        <v>45978</v>
      </c>
      <c r="C44" s="1">
        <v>385860</v>
      </c>
      <c r="D44" s="1" t="s">
        <v>13</v>
      </c>
      <c r="E44" s="1" t="s">
        <v>18</v>
      </c>
      <c r="F44" s="1" t="s">
        <v>9</v>
      </c>
      <c r="G44" s="3">
        <v>0.73886574074074074</v>
      </c>
    </row>
    <row r="45" spans="1:7" x14ac:dyDescent="0.3">
      <c r="A45" s="1">
        <v>199</v>
      </c>
      <c r="B45" s="2">
        <v>46027</v>
      </c>
      <c r="C45" s="1">
        <v>476564</v>
      </c>
      <c r="D45" s="1" t="s">
        <v>13</v>
      </c>
      <c r="E45" s="1" t="s">
        <v>18</v>
      </c>
      <c r="F45" s="1" t="s">
        <v>9</v>
      </c>
      <c r="G45" s="3">
        <v>0.31439814814814815</v>
      </c>
    </row>
    <row r="46" spans="1:7" x14ac:dyDescent="0.3">
      <c r="A46" s="1">
        <v>204</v>
      </c>
      <c r="B46" s="2">
        <v>45977</v>
      </c>
      <c r="C46" s="1">
        <v>379135</v>
      </c>
      <c r="D46" s="1" t="s">
        <v>13</v>
      </c>
      <c r="E46" s="1" t="s">
        <v>18</v>
      </c>
      <c r="F46" s="1" t="s">
        <v>9</v>
      </c>
      <c r="G46" s="3">
        <v>0.80512731481481481</v>
      </c>
    </row>
    <row r="47" spans="1:7" x14ac:dyDescent="0.3">
      <c r="A47" s="1">
        <v>206</v>
      </c>
      <c r="B47" s="2">
        <v>46040</v>
      </c>
      <c r="C47" s="1">
        <v>464767</v>
      </c>
      <c r="D47" s="1" t="s">
        <v>13</v>
      </c>
      <c r="E47" s="1" t="s">
        <v>18</v>
      </c>
      <c r="F47" s="1" t="s">
        <v>14</v>
      </c>
      <c r="G47" s="3">
        <v>0.59267361111111116</v>
      </c>
    </row>
    <row r="48" spans="1:7" x14ac:dyDescent="0.3">
      <c r="A48" s="1">
        <v>225</v>
      </c>
      <c r="B48" s="2">
        <v>45986</v>
      </c>
      <c r="C48" s="1">
        <v>337769</v>
      </c>
      <c r="D48" s="1" t="s">
        <v>13</v>
      </c>
      <c r="E48" s="1" t="s">
        <v>18</v>
      </c>
      <c r="F48" s="1" t="s">
        <v>14</v>
      </c>
      <c r="G48" s="3">
        <v>0.43495370370370373</v>
      </c>
    </row>
    <row r="49" spans="1:7" x14ac:dyDescent="0.3">
      <c r="A49" s="1">
        <v>134</v>
      </c>
      <c r="B49" s="2">
        <v>46014</v>
      </c>
      <c r="C49" s="1">
        <v>369002</v>
      </c>
      <c r="D49" s="1" t="s">
        <v>15</v>
      </c>
      <c r="E49" s="1" t="s">
        <v>18</v>
      </c>
      <c r="F49" s="1" t="s">
        <v>14</v>
      </c>
      <c r="G49" s="3">
        <v>0.73609953703703701</v>
      </c>
    </row>
    <row r="50" spans="1:7" x14ac:dyDescent="0.3">
      <c r="A50" s="1">
        <v>139</v>
      </c>
      <c r="B50" s="2">
        <v>46035</v>
      </c>
      <c r="C50" s="1">
        <v>335367</v>
      </c>
      <c r="D50" s="1" t="s">
        <v>15</v>
      </c>
      <c r="E50" s="1" t="s">
        <v>18</v>
      </c>
      <c r="F50" s="1" t="s">
        <v>14</v>
      </c>
      <c r="G50" s="3">
        <v>0.92341435185185183</v>
      </c>
    </row>
    <row r="51" spans="1:7" x14ac:dyDescent="0.3">
      <c r="A51" s="1">
        <v>140</v>
      </c>
      <c r="B51" s="2">
        <v>46052</v>
      </c>
      <c r="C51" s="1">
        <v>391783</v>
      </c>
      <c r="D51" s="1" t="s">
        <v>15</v>
      </c>
      <c r="E51" s="1" t="s">
        <v>18</v>
      </c>
      <c r="F51" s="1" t="s">
        <v>14</v>
      </c>
      <c r="G51" s="3">
        <v>0.63390046296296299</v>
      </c>
    </row>
    <row r="52" spans="1:7" x14ac:dyDescent="0.3">
      <c r="A52" s="1">
        <v>169</v>
      </c>
      <c r="B52" s="2">
        <v>46012</v>
      </c>
      <c r="C52" s="1">
        <v>489584</v>
      </c>
      <c r="D52" s="1" t="s">
        <v>15</v>
      </c>
      <c r="E52" s="1" t="s">
        <v>18</v>
      </c>
      <c r="F52" s="1" t="s">
        <v>14</v>
      </c>
      <c r="G52" s="3">
        <v>0.86124999999999996</v>
      </c>
    </row>
    <row r="53" spans="1:7" x14ac:dyDescent="0.3">
      <c r="A53" s="1">
        <v>171</v>
      </c>
      <c r="B53" s="2">
        <v>46000</v>
      </c>
      <c r="C53" s="1">
        <v>426344</v>
      </c>
      <c r="D53" s="1" t="s">
        <v>15</v>
      </c>
      <c r="E53" s="1" t="s">
        <v>18</v>
      </c>
      <c r="F53" s="1" t="s">
        <v>14</v>
      </c>
      <c r="G53" s="3">
        <v>0.81575231481481481</v>
      </c>
    </row>
    <row r="54" spans="1:7" x14ac:dyDescent="0.3">
      <c r="A54" s="1">
        <v>135</v>
      </c>
      <c r="B54" s="2">
        <v>46020</v>
      </c>
      <c r="C54" s="1">
        <v>459617</v>
      </c>
      <c r="D54" s="1" t="s">
        <v>7</v>
      </c>
      <c r="E54" s="1" t="s">
        <v>19</v>
      </c>
      <c r="F54" s="1" t="s">
        <v>14</v>
      </c>
      <c r="G54" s="3">
        <v>5.334490740740741E-2</v>
      </c>
    </row>
    <row r="55" spans="1:7" x14ac:dyDescent="0.3">
      <c r="A55" s="1">
        <v>144</v>
      </c>
      <c r="B55" s="2">
        <v>46041</v>
      </c>
      <c r="C55" s="1">
        <v>429186</v>
      </c>
      <c r="D55" s="1" t="s">
        <v>7</v>
      </c>
      <c r="E55" s="1" t="s">
        <v>19</v>
      </c>
      <c r="F55" s="1" t="s">
        <v>14</v>
      </c>
      <c r="G55" s="3">
        <v>0.11820601851851852</v>
      </c>
    </row>
    <row r="56" spans="1:7" x14ac:dyDescent="0.3">
      <c r="A56" s="1">
        <v>147</v>
      </c>
      <c r="B56" s="2">
        <v>46026</v>
      </c>
      <c r="C56" s="1">
        <v>452111</v>
      </c>
      <c r="D56" s="1" t="s">
        <v>7</v>
      </c>
      <c r="E56" s="1" t="s">
        <v>19</v>
      </c>
      <c r="F56" s="1" t="s">
        <v>14</v>
      </c>
      <c r="G56" s="3">
        <v>0.40706018518518516</v>
      </c>
    </row>
    <row r="57" spans="1:7" x14ac:dyDescent="0.3">
      <c r="A57" s="1">
        <v>150</v>
      </c>
      <c r="B57" s="2">
        <v>46036</v>
      </c>
      <c r="C57" s="1">
        <v>482218</v>
      </c>
      <c r="D57" s="1" t="s">
        <v>7</v>
      </c>
      <c r="E57" s="1" t="s">
        <v>19</v>
      </c>
      <c r="F57" s="1" t="s">
        <v>14</v>
      </c>
      <c r="G57" s="3">
        <v>0.35620370370370369</v>
      </c>
    </row>
    <row r="58" spans="1:7" x14ac:dyDescent="0.3">
      <c r="A58" s="1">
        <v>152</v>
      </c>
      <c r="B58" s="2">
        <v>46022</v>
      </c>
      <c r="C58" s="1">
        <v>385525</v>
      </c>
      <c r="D58" s="1" t="s">
        <v>7</v>
      </c>
      <c r="E58" s="1" t="s">
        <v>19</v>
      </c>
      <c r="F58" s="1" t="s">
        <v>14</v>
      </c>
      <c r="G58" s="3">
        <v>0.91008101851851853</v>
      </c>
    </row>
    <row r="59" spans="1:7" x14ac:dyDescent="0.3">
      <c r="A59" s="1">
        <v>183</v>
      </c>
      <c r="B59" s="2">
        <v>46032</v>
      </c>
      <c r="C59" s="1">
        <v>487707</v>
      </c>
      <c r="D59" s="1" t="s">
        <v>7</v>
      </c>
      <c r="E59" s="1" t="s">
        <v>19</v>
      </c>
      <c r="F59" s="1" t="s">
        <v>14</v>
      </c>
      <c r="G59" s="3">
        <v>0.39104166666666668</v>
      </c>
    </row>
    <row r="60" spans="1:7" x14ac:dyDescent="0.3">
      <c r="A60" s="1">
        <v>207</v>
      </c>
      <c r="B60" s="2">
        <v>45980</v>
      </c>
      <c r="C60" s="1">
        <v>393606</v>
      </c>
      <c r="D60" s="1" t="s">
        <v>7</v>
      </c>
      <c r="E60" s="1" t="s">
        <v>19</v>
      </c>
      <c r="F60" s="1" t="s">
        <v>14</v>
      </c>
      <c r="G60" s="3">
        <v>0.39871527777777777</v>
      </c>
    </row>
    <row r="61" spans="1:7" x14ac:dyDescent="0.3">
      <c r="A61" s="1">
        <v>128</v>
      </c>
      <c r="B61" s="2">
        <v>46005</v>
      </c>
      <c r="C61" s="1">
        <v>346987</v>
      </c>
      <c r="D61" s="1" t="s">
        <v>13</v>
      </c>
      <c r="E61" s="1" t="s">
        <v>19</v>
      </c>
      <c r="F61" s="1" t="s">
        <v>14</v>
      </c>
      <c r="G61" s="3">
        <v>0.37872685185185184</v>
      </c>
    </row>
    <row r="62" spans="1:7" x14ac:dyDescent="0.3">
      <c r="A62" s="1">
        <v>153</v>
      </c>
      <c r="B62" s="2">
        <v>46048</v>
      </c>
      <c r="C62" s="1">
        <v>444349</v>
      </c>
      <c r="D62" s="1" t="s">
        <v>13</v>
      </c>
      <c r="E62" s="1" t="s">
        <v>19</v>
      </c>
      <c r="F62" s="1" t="s">
        <v>14</v>
      </c>
      <c r="G62" s="3">
        <v>0.43004629629629632</v>
      </c>
    </row>
    <row r="63" spans="1:7" x14ac:dyDescent="0.3">
      <c r="A63" s="1">
        <v>162</v>
      </c>
      <c r="B63" s="2">
        <v>46005</v>
      </c>
      <c r="C63" s="1">
        <v>392055</v>
      </c>
      <c r="D63" s="1" t="s">
        <v>13</v>
      </c>
      <c r="E63" s="1" t="s">
        <v>19</v>
      </c>
      <c r="F63" s="1" t="s">
        <v>14</v>
      </c>
      <c r="G63" s="3">
        <v>0.46668981481481481</v>
      </c>
    </row>
    <row r="64" spans="1:7" x14ac:dyDescent="0.3">
      <c r="A64" s="1">
        <v>177</v>
      </c>
      <c r="B64" s="2">
        <v>46029</v>
      </c>
      <c r="C64" s="1">
        <v>474747</v>
      </c>
      <c r="D64" s="1" t="s">
        <v>13</v>
      </c>
      <c r="E64" s="1" t="s">
        <v>19</v>
      </c>
      <c r="F64" s="1" t="s">
        <v>14</v>
      </c>
      <c r="G64" s="3">
        <v>0.42723379629629632</v>
      </c>
    </row>
    <row r="65" spans="1:7" x14ac:dyDescent="0.3">
      <c r="A65" s="1">
        <v>182</v>
      </c>
      <c r="B65" s="2">
        <v>46011</v>
      </c>
      <c r="C65" s="1">
        <v>374388</v>
      </c>
      <c r="D65" s="1" t="s">
        <v>13</v>
      </c>
      <c r="E65" s="1" t="s">
        <v>19</v>
      </c>
      <c r="F65" s="1" t="s">
        <v>14</v>
      </c>
      <c r="G65" s="3">
        <v>0.80101851851851846</v>
      </c>
    </row>
    <row r="66" spans="1:7" x14ac:dyDescent="0.3">
      <c r="A66" s="1">
        <v>202</v>
      </c>
      <c r="B66" s="2">
        <v>46041</v>
      </c>
      <c r="C66" s="1">
        <v>301639</v>
      </c>
      <c r="D66" s="1" t="s">
        <v>13</v>
      </c>
      <c r="E66" s="1" t="s">
        <v>19</v>
      </c>
      <c r="F66" s="1" t="s">
        <v>14</v>
      </c>
      <c r="G66" s="3">
        <v>0.79806712962962967</v>
      </c>
    </row>
    <row r="67" spans="1:7" x14ac:dyDescent="0.3">
      <c r="A67" s="1">
        <v>214</v>
      </c>
      <c r="B67" s="2">
        <v>46022</v>
      </c>
      <c r="C67" s="1">
        <v>367163</v>
      </c>
      <c r="D67" s="1" t="s">
        <v>13</v>
      </c>
      <c r="E67" s="1" t="s">
        <v>19</v>
      </c>
      <c r="F67" s="1" t="s">
        <v>14</v>
      </c>
      <c r="G67" s="3">
        <v>0.18435185185185185</v>
      </c>
    </row>
    <row r="68" spans="1:7" x14ac:dyDescent="0.3">
      <c r="A68" s="1">
        <v>223</v>
      </c>
      <c r="B68" s="2">
        <v>45982</v>
      </c>
      <c r="C68" s="1">
        <v>462999</v>
      </c>
      <c r="D68" s="1" t="s">
        <v>13</v>
      </c>
      <c r="E68" s="1" t="s">
        <v>19</v>
      </c>
      <c r="F68" s="1" t="s">
        <v>16</v>
      </c>
      <c r="G68" s="3">
        <v>0.24084490740740741</v>
      </c>
    </row>
    <row r="69" spans="1:7" x14ac:dyDescent="0.3">
      <c r="A69" s="1">
        <v>130</v>
      </c>
      <c r="B69" s="2">
        <v>46024</v>
      </c>
      <c r="C69" s="1">
        <v>392254</v>
      </c>
      <c r="D69" s="1" t="s">
        <v>15</v>
      </c>
      <c r="E69" s="1" t="s">
        <v>19</v>
      </c>
      <c r="F69" s="1" t="s">
        <v>16</v>
      </c>
      <c r="G69" s="3">
        <v>0.33743055555555557</v>
      </c>
    </row>
    <row r="70" spans="1:7" x14ac:dyDescent="0.3">
      <c r="A70" s="1">
        <v>136</v>
      </c>
      <c r="B70" s="2">
        <v>46033</v>
      </c>
      <c r="C70" s="1">
        <v>332981</v>
      </c>
      <c r="D70" s="1" t="s">
        <v>15</v>
      </c>
      <c r="E70" s="1" t="s">
        <v>19</v>
      </c>
      <c r="F70" s="1" t="s">
        <v>16</v>
      </c>
      <c r="G70" s="3">
        <v>0.92458333333333331</v>
      </c>
    </row>
    <row r="71" spans="1:7" x14ac:dyDescent="0.3">
      <c r="A71" s="1">
        <v>170</v>
      </c>
      <c r="B71" s="2">
        <v>45994</v>
      </c>
      <c r="C71" s="1">
        <v>472413</v>
      </c>
      <c r="D71" s="1" t="s">
        <v>15</v>
      </c>
      <c r="E71" s="1" t="s">
        <v>19</v>
      </c>
      <c r="F71" s="1" t="s">
        <v>16</v>
      </c>
      <c r="G71" s="3">
        <v>0.17281250000000001</v>
      </c>
    </row>
    <row r="72" spans="1:7" x14ac:dyDescent="0.3">
      <c r="A72" s="1">
        <v>172</v>
      </c>
      <c r="B72" s="2">
        <v>45986</v>
      </c>
      <c r="C72" s="1">
        <v>394490</v>
      </c>
      <c r="D72" s="1" t="s">
        <v>15</v>
      </c>
      <c r="E72" s="1" t="s">
        <v>19</v>
      </c>
      <c r="F72" s="1" t="s">
        <v>16</v>
      </c>
      <c r="G72" s="3">
        <v>0.80832175925925931</v>
      </c>
    </row>
    <row r="73" spans="1:7" x14ac:dyDescent="0.3">
      <c r="A73" s="1">
        <v>175</v>
      </c>
      <c r="B73" s="2">
        <v>46003</v>
      </c>
      <c r="C73" s="1">
        <v>376101</v>
      </c>
      <c r="D73" s="1" t="s">
        <v>15</v>
      </c>
      <c r="E73" s="1" t="s">
        <v>19</v>
      </c>
      <c r="F73" s="1" t="s">
        <v>16</v>
      </c>
      <c r="G73" s="3">
        <v>0.12560185185185185</v>
      </c>
    </row>
    <row r="74" spans="1:7" x14ac:dyDescent="0.3">
      <c r="A74" s="1">
        <v>180</v>
      </c>
      <c r="B74" s="2">
        <v>46043</v>
      </c>
      <c r="C74" s="1">
        <v>480446</v>
      </c>
      <c r="D74" s="1" t="s">
        <v>15</v>
      </c>
      <c r="E74" s="1" t="s">
        <v>19</v>
      </c>
      <c r="F74" s="1" t="s">
        <v>16</v>
      </c>
      <c r="G74" s="3">
        <v>0.31833333333333336</v>
      </c>
    </row>
    <row r="75" spans="1:7" x14ac:dyDescent="0.3">
      <c r="A75" s="1">
        <v>218</v>
      </c>
      <c r="B75" s="2">
        <v>46042</v>
      </c>
      <c r="C75" s="1">
        <v>445874</v>
      </c>
      <c r="D75" s="1" t="s">
        <v>15</v>
      </c>
      <c r="E75" s="1" t="s">
        <v>19</v>
      </c>
      <c r="F75" s="1" t="s">
        <v>16</v>
      </c>
      <c r="G75" s="3">
        <v>0.36209490740740741</v>
      </c>
    </row>
    <row r="76" spans="1:7" x14ac:dyDescent="0.3">
      <c r="A76" s="1">
        <v>224</v>
      </c>
      <c r="B76" s="2">
        <v>46033</v>
      </c>
      <c r="C76" s="1">
        <v>413309</v>
      </c>
      <c r="D76" s="1" t="s">
        <v>15</v>
      </c>
      <c r="E76" s="1" t="s">
        <v>19</v>
      </c>
      <c r="F76" s="1" t="s">
        <v>16</v>
      </c>
      <c r="G76" s="3">
        <v>0.23998842592592592</v>
      </c>
    </row>
    <row r="77" spans="1:7" x14ac:dyDescent="0.3">
      <c r="A77" s="1">
        <v>167</v>
      </c>
      <c r="B77" s="2">
        <v>45970</v>
      </c>
      <c r="C77" s="1">
        <v>328747</v>
      </c>
      <c r="D77" s="1" t="s">
        <v>7</v>
      </c>
      <c r="E77" s="1" t="s">
        <v>20</v>
      </c>
      <c r="F77" s="1" t="s">
        <v>16</v>
      </c>
      <c r="G77" s="3">
        <v>0.92060185185185184</v>
      </c>
    </row>
    <row r="78" spans="1:7" x14ac:dyDescent="0.3">
      <c r="A78" s="1">
        <v>212</v>
      </c>
      <c r="B78" s="2">
        <v>46053</v>
      </c>
      <c r="C78" s="1">
        <v>376050</v>
      </c>
      <c r="D78" s="1" t="s">
        <v>7</v>
      </c>
      <c r="E78" s="1" t="s">
        <v>20</v>
      </c>
      <c r="F78" s="1" t="s">
        <v>16</v>
      </c>
      <c r="G78" s="3">
        <v>0.33381944444444445</v>
      </c>
    </row>
    <row r="79" spans="1:7" x14ac:dyDescent="0.3">
      <c r="A79" s="1">
        <v>138</v>
      </c>
      <c r="B79" s="2">
        <v>46001</v>
      </c>
      <c r="C79" s="1">
        <v>391292</v>
      </c>
      <c r="D79" s="1" t="s">
        <v>13</v>
      </c>
      <c r="E79" s="1" t="s">
        <v>20</v>
      </c>
      <c r="F79" s="1" t="s">
        <v>16</v>
      </c>
      <c r="G79" s="3">
        <v>0.66855324074074074</v>
      </c>
    </row>
    <row r="80" spans="1:7" x14ac:dyDescent="0.3">
      <c r="A80" s="1">
        <v>142</v>
      </c>
      <c r="B80" s="2">
        <v>46022</v>
      </c>
      <c r="C80" s="1">
        <v>323509</v>
      </c>
      <c r="D80" s="1" t="s">
        <v>13</v>
      </c>
      <c r="E80" s="1" t="s">
        <v>20</v>
      </c>
      <c r="F80" s="1" t="s">
        <v>16</v>
      </c>
      <c r="G80" s="3">
        <v>0.42787037037037035</v>
      </c>
    </row>
    <row r="81" spans="1:7" x14ac:dyDescent="0.3">
      <c r="A81" s="1">
        <v>161</v>
      </c>
      <c r="B81" s="2">
        <v>46006</v>
      </c>
      <c r="C81" s="1">
        <v>392062</v>
      </c>
      <c r="D81" s="1" t="s">
        <v>13</v>
      </c>
      <c r="E81" s="1" t="s">
        <v>20</v>
      </c>
      <c r="F81" s="1" t="s">
        <v>16</v>
      </c>
      <c r="G81" s="3">
        <v>0.79269675925925931</v>
      </c>
    </row>
    <row r="82" spans="1:7" x14ac:dyDescent="0.3">
      <c r="A82" s="1">
        <v>213</v>
      </c>
      <c r="B82" s="2">
        <v>46050</v>
      </c>
      <c r="C82" s="1">
        <v>370612</v>
      </c>
      <c r="D82" s="1" t="s">
        <v>13</v>
      </c>
      <c r="E82" s="1" t="s">
        <v>20</v>
      </c>
      <c r="F82" s="1" t="s">
        <v>16</v>
      </c>
      <c r="G82" s="3">
        <v>0.19311342592592592</v>
      </c>
    </row>
    <row r="83" spans="1:7" x14ac:dyDescent="0.3">
      <c r="A83" s="1">
        <v>220</v>
      </c>
      <c r="B83" s="2">
        <v>46019</v>
      </c>
      <c r="C83" s="1">
        <v>371614</v>
      </c>
      <c r="D83" s="1" t="s">
        <v>13</v>
      </c>
      <c r="E83" s="1" t="s">
        <v>20</v>
      </c>
      <c r="F83" s="1" t="s">
        <v>5</v>
      </c>
      <c r="G83" s="3">
        <v>0.97440972222222222</v>
      </c>
    </row>
    <row r="84" spans="1:7" x14ac:dyDescent="0.3">
      <c r="A84" s="1">
        <v>133</v>
      </c>
      <c r="B84" s="2">
        <v>46025</v>
      </c>
      <c r="C84" s="1">
        <v>426651</v>
      </c>
      <c r="D84" s="1" t="s">
        <v>15</v>
      </c>
      <c r="E84" s="1" t="s">
        <v>20</v>
      </c>
      <c r="F84" s="1" t="s">
        <v>12</v>
      </c>
      <c r="G84" s="3">
        <v>0.34331018518518519</v>
      </c>
    </row>
    <row r="85" spans="1:7" x14ac:dyDescent="0.3">
      <c r="A85" s="1">
        <v>137</v>
      </c>
      <c r="B85" s="2">
        <v>46048</v>
      </c>
      <c r="C85" s="1">
        <v>437871</v>
      </c>
      <c r="D85" s="1" t="s">
        <v>15</v>
      </c>
      <c r="E85" s="1" t="s">
        <v>20</v>
      </c>
      <c r="F85" s="1" t="s">
        <v>12</v>
      </c>
      <c r="G85" s="3">
        <v>0.54974537037037041</v>
      </c>
    </row>
    <row r="86" spans="1:7" x14ac:dyDescent="0.3">
      <c r="A86" s="1">
        <v>157</v>
      </c>
      <c r="B86" s="2">
        <v>45983</v>
      </c>
      <c r="C86" s="1">
        <v>446117</v>
      </c>
      <c r="D86" s="1" t="s">
        <v>15</v>
      </c>
      <c r="E86" s="1" t="s">
        <v>20</v>
      </c>
      <c r="F86" s="1" t="s">
        <v>12</v>
      </c>
      <c r="G86" s="3">
        <v>0.49626157407407406</v>
      </c>
    </row>
    <row r="87" spans="1:7" x14ac:dyDescent="0.3">
      <c r="A87" s="1">
        <v>163</v>
      </c>
      <c r="B87" s="2">
        <v>46007</v>
      </c>
      <c r="C87" s="1">
        <v>373609</v>
      </c>
      <c r="D87" s="1" t="s">
        <v>15</v>
      </c>
      <c r="E87" s="1" t="s">
        <v>20</v>
      </c>
      <c r="F87" s="1" t="s">
        <v>12</v>
      </c>
      <c r="G87" s="3">
        <v>0.74839120370370371</v>
      </c>
    </row>
    <row r="88" spans="1:7" x14ac:dyDescent="0.3">
      <c r="A88" s="1">
        <v>178</v>
      </c>
      <c r="B88" s="2">
        <v>46038</v>
      </c>
      <c r="C88" s="1">
        <v>453862</v>
      </c>
      <c r="D88" s="1" t="s">
        <v>15</v>
      </c>
      <c r="E88" s="1" t="s">
        <v>20</v>
      </c>
      <c r="F88" s="1" t="s">
        <v>12</v>
      </c>
      <c r="G88" s="3">
        <v>0.73931712962962959</v>
      </c>
    </row>
    <row r="89" spans="1:7" x14ac:dyDescent="0.3">
      <c r="A89" s="1">
        <v>193</v>
      </c>
      <c r="B89" s="2">
        <v>45981</v>
      </c>
      <c r="C89" s="1">
        <v>411097</v>
      </c>
      <c r="D89" s="1" t="s">
        <v>15</v>
      </c>
      <c r="E89" s="1" t="s">
        <v>20</v>
      </c>
      <c r="F89" s="1" t="s">
        <v>12</v>
      </c>
      <c r="G89" s="3">
        <v>0.92752314814814818</v>
      </c>
    </row>
    <row r="90" spans="1:7" x14ac:dyDescent="0.3">
      <c r="A90" s="1">
        <v>201</v>
      </c>
      <c r="B90" s="2">
        <v>45983</v>
      </c>
      <c r="C90" s="1">
        <v>481768</v>
      </c>
      <c r="D90" s="1" t="s">
        <v>15</v>
      </c>
      <c r="E90" s="1" t="s">
        <v>20</v>
      </c>
      <c r="F90" s="1" t="s">
        <v>12</v>
      </c>
      <c r="G90" s="3">
        <v>0.9595717592592593</v>
      </c>
    </row>
    <row r="91" spans="1:7" x14ac:dyDescent="0.3">
      <c r="A91" s="1">
        <v>210</v>
      </c>
      <c r="B91" s="2">
        <v>46005</v>
      </c>
      <c r="C91" s="1">
        <v>477786</v>
      </c>
      <c r="D91" s="1" t="s">
        <v>7</v>
      </c>
      <c r="E91" s="1" t="s">
        <v>21</v>
      </c>
      <c r="F91" s="1" t="s">
        <v>12</v>
      </c>
      <c r="G91" s="3">
        <v>0.55765046296296295</v>
      </c>
    </row>
    <row r="92" spans="1:7" x14ac:dyDescent="0.3">
      <c r="A92" s="1">
        <v>129</v>
      </c>
      <c r="B92" s="2">
        <v>46031</v>
      </c>
      <c r="C92" s="1">
        <v>355617</v>
      </c>
      <c r="D92" s="1" t="s">
        <v>13</v>
      </c>
      <c r="E92" s="1" t="s">
        <v>21</v>
      </c>
      <c r="F92" s="1" t="s">
        <v>12</v>
      </c>
      <c r="G92" s="3">
        <v>0.12297453703703703</v>
      </c>
    </row>
    <row r="93" spans="1:7" x14ac:dyDescent="0.3">
      <c r="A93" s="1">
        <v>173</v>
      </c>
      <c r="B93" s="2">
        <v>46001</v>
      </c>
      <c r="C93" s="1">
        <v>429078</v>
      </c>
      <c r="D93" s="1" t="s">
        <v>13</v>
      </c>
      <c r="E93" s="1" t="s">
        <v>21</v>
      </c>
      <c r="F93" s="1" t="s">
        <v>12</v>
      </c>
      <c r="G93" s="3">
        <v>0.95510416666666664</v>
      </c>
    </row>
    <row r="94" spans="1:7" x14ac:dyDescent="0.3">
      <c r="A94" s="1">
        <v>198</v>
      </c>
      <c r="B94" s="2">
        <v>46012</v>
      </c>
      <c r="C94" s="1">
        <v>302561</v>
      </c>
      <c r="D94" s="1" t="s">
        <v>13</v>
      </c>
      <c r="E94" s="1" t="s">
        <v>21</v>
      </c>
      <c r="F94" s="1" t="s">
        <v>12</v>
      </c>
      <c r="G94" s="3">
        <v>0.59320601851851851</v>
      </c>
    </row>
    <row r="95" spans="1:7" x14ac:dyDescent="0.3">
      <c r="A95" s="1">
        <v>208</v>
      </c>
      <c r="B95" s="2">
        <v>45989</v>
      </c>
      <c r="C95" s="1">
        <v>409882</v>
      </c>
      <c r="D95" s="1" t="s">
        <v>13</v>
      </c>
      <c r="E95" s="1" t="s">
        <v>21</v>
      </c>
      <c r="F95" s="1" t="s">
        <v>12</v>
      </c>
      <c r="G95" s="3">
        <v>0.21178240740740742</v>
      </c>
    </row>
    <row r="96" spans="1:7" x14ac:dyDescent="0.3">
      <c r="A96" s="1">
        <v>216</v>
      </c>
      <c r="B96" s="2">
        <v>46027</v>
      </c>
      <c r="C96" s="1">
        <v>316241</v>
      </c>
      <c r="D96" s="1" t="s">
        <v>13</v>
      </c>
      <c r="E96" s="1" t="s">
        <v>21</v>
      </c>
      <c r="F96" s="1" t="s">
        <v>12</v>
      </c>
      <c r="G96" s="3">
        <v>1.6064814814814816E-2</v>
      </c>
    </row>
    <row r="97" spans="1:7" x14ac:dyDescent="0.3">
      <c r="A97" s="1">
        <v>217</v>
      </c>
      <c r="B97" s="2">
        <v>45967</v>
      </c>
      <c r="C97" s="1">
        <v>479796</v>
      </c>
      <c r="D97" s="1" t="s">
        <v>13</v>
      </c>
      <c r="E97" s="1" t="s">
        <v>21</v>
      </c>
      <c r="F97" s="1" t="s">
        <v>12</v>
      </c>
      <c r="G97" s="3">
        <v>0.69225694444444441</v>
      </c>
    </row>
    <row r="98" spans="1:7" x14ac:dyDescent="0.3">
      <c r="A98" s="1">
        <v>226</v>
      </c>
      <c r="B98" s="2">
        <v>46044</v>
      </c>
      <c r="C98" s="1">
        <v>382210</v>
      </c>
      <c r="D98" s="1" t="s">
        <v>13</v>
      </c>
      <c r="E98" s="1" t="s">
        <v>21</v>
      </c>
      <c r="F98" s="1" t="s">
        <v>12</v>
      </c>
      <c r="G98" s="3">
        <v>0.31276620370370373</v>
      </c>
    </row>
    <row r="99" spans="1:7" x14ac:dyDescent="0.3">
      <c r="A99" s="1">
        <v>164</v>
      </c>
      <c r="B99" s="2">
        <v>46015</v>
      </c>
      <c r="C99" s="1">
        <v>317109</v>
      </c>
      <c r="D99" s="1" t="s">
        <v>15</v>
      </c>
      <c r="E99" s="1" t="s">
        <v>21</v>
      </c>
      <c r="F99" s="1" t="s">
        <v>12</v>
      </c>
      <c r="G99" s="3">
        <v>0.13640046296296296</v>
      </c>
    </row>
    <row r="100" spans="1:7" x14ac:dyDescent="0.3">
      <c r="A100" s="1">
        <v>165</v>
      </c>
      <c r="B100" s="2">
        <v>46003</v>
      </c>
      <c r="C100" s="1">
        <v>416697</v>
      </c>
      <c r="D100" s="1" t="s">
        <v>15</v>
      </c>
      <c r="E100" s="1" t="s">
        <v>21</v>
      </c>
      <c r="F100" s="1" t="s">
        <v>12</v>
      </c>
      <c r="G100" s="3">
        <v>6.2395833333333331E-2</v>
      </c>
    </row>
    <row r="101" spans="1:7" x14ac:dyDescent="0.3">
      <c r="A101" s="1">
        <v>227</v>
      </c>
      <c r="B101" s="2">
        <v>45988</v>
      </c>
      <c r="C101" s="1">
        <v>476826</v>
      </c>
      <c r="D101" s="1" t="s">
        <v>15</v>
      </c>
      <c r="E101" s="1" t="s">
        <v>21</v>
      </c>
      <c r="F101" s="1" t="s">
        <v>12</v>
      </c>
      <c r="G101" s="3">
        <v>0.73071759259259261</v>
      </c>
    </row>
  </sheetData>
  <sortState xmlns:xlrd2="http://schemas.microsoft.com/office/spreadsheetml/2017/richdata2" ref="F1:F101">
    <sortCondition ref="F1:F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Mr_Robot</dc:creator>
  <cp:lastModifiedBy>Shahriare Khan Shahrukh</cp:lastModifiedBy>
  <dcterms:created xsi:type="dcterms:W3CDTF">2026-04-10T17:17:51Z</dcterms:created>
  <dcterms:modified xsi:type="dcterms:W3CDTF">2026-05-16T07:52:47Z</dcterms:modified>
</cp:coreProperties>
</file>