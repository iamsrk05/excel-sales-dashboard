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b0c28d632011d/Desktop/Almarjuk/"/>
    </mc:Choice>
  </mc:AlternateContent>
  <xr:revisionPtr revIDLastSave="1" documentId="8_{3FC7B683-D0EB-43F1-8A11-808ED4713EAA}" xr6:coauthVersionLast="47" xr6:coauthVersionMax="47" xr10:uidLastSave="{B500506C-00D7-41E4-B863-B43CA4BBFDA7}"/>
  <bookViews>
    <workbookView xWindow="-108" yWindow="-108" windowWidth="23256" windowHeight="12456" xr2:uid="{B9C7F2D1-2675-4789-8E93-1CB365BC3D0B}"/>
  </bookViews>
  <sheets>
    <sheet name="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2" i="1"/>
  <c r="N6" i="1"/>
  <c r="N5" i="1"/>
  <c r="N4" i="1"/>
  <c r="N3" i="1"/>
  <c r="N2" i="1"/>
  <c r="P5" i="1"/>
  <c r="P4" i="1"/>
  <c r="P3" i="1"/>
  <c r="P2" i="1"/>
</calcChain>
</file>

<file path=xl/sharedStrings.xml><?xml version="1.0" encoding="utf-8"?>
<sst xmlns="http://schemas.openxmlformats.org/spreadsheetml/2006/main" count="745" uniqueCount="386">
  <si>
    <t>id</t>
  </si>
  <si>
    <t>firstName</t>
  </si>
  <si>
    <t>lastName</t>
  </si>
  <si>
    <t>middleName</t>
  </si>
  <si>
    <t>address</t>
  </si>
  <si>
    <t>mobile_phone</t>
  </si>
  <si>
    <t>emergency_contact</t>
  </si>
  <si>
    <t>wifeName</t>
  </si>
  <si>
    <t>numberOfChildren</t>
  </si>
  <si>
    <t>well_id</t>
  </si>
  <si>
    <t>Technician</t>
  </si>
  <si>
    <t>EmpFN1</t>
  </si>
  <si>
    <t>EmpLN1</t>
  </si>
  <si>
    <t>M</t>
  </si>
  <si>
    <t>China</t>
  </si>
  <si>
    <t>Wife1</t>
  </si>
  <si>
    <t>Digger</t>
  </si>
  <si>
    <t>EmpFN2</t>
  </si>
  <si>
    <t>EmpLN2</t>
  </si>
  <si>
    <t>Iraq</t>
  </si>
  <si>
    <t>Wife2</t>
  </si>
  <si>
    <t>Engineer</t>
  </si>
  <si>
    <t>EmpFN3</t>
  </si>
  <si>
    <t>EmpLN3</t>
  </si>
  <si>
    <t>Germany</t>
  </si>
  <si>
    <t>Wife3</t>
  </si>
  <si>
    <t>EmpFN4</t>
  </si>
  <si>
    <t>EmpLN4</t>
  </si>
  <si>
    <t>Wife4</t>
  </si>
  <si>
    <t>EmpFN5</t>
  </si>
  <si>
    <t>EmpLN5</t>
  </si>
  <si>
    <t>South Korea</t>
  </si>
  <si>
    <t>Wife5</t>
  </si>
  <si>
    <t>EmpFN6</t>
  </si>
  <si>
    <t>EmpLN6</t>
  </si>
  <si>
    <t>Wife6</t>
  </si>
  <si>
    <t>Admin</t>
  </si>
  <si>
    <t>EmpFN7</t>
  </si>
  <si>
    <t>EmpLN7</t>
  </si>
  <si>
    <t>Wife7</t>
  </si>
  <si>
    <t>EmpFN8</t>
  </si>
  <si>
    <t>EmpLN8</t>
  </si>
  <si>
    <t>Iran</t>
  </si>
  <si>
    <t>Wife8</t>
  </si>
  <si>
    <t>EmpFN9</t>
  </si>
  <si>
    <t>EmpLN9</t>
  </si>
  <si>
    <t>Wife9</t>
  </si>
  <si>
    <t>EmpFN10</t>
  </si>
  <si>
    <t>EmpLN10</t>
  </si>
  <si>
    <t>Wife10</t>
  </si>
  <si>
    <t>EmpFN11</t>
  </si>
  <si>
    <t>EmpLN11</t>
  </si>
  <si>
    <t>Wife11</t>
  </si>
  <si>
    <t>EmpFN12</t>
  </si>
  <si>
    <t>EmpLN12</t>
  </si>
  <si>
    <t>Wife12</t>
  </si>
  <si>
    <t>EmpFN13</t>
  </si>
  <si>
    <t>EmpLN13</t>
  </si>
  <si>
    <t>Wife13</t>
  </si>
  <si>
    <t>EmpFN14</t>
  </si>
  <si>
    <t>EmpLN14</t>
  </si>
  <si>
    <t>Wife14</t>
  </si>
  <si>
    <t>EmpFN15</t>
  </si>
  <si>
    <t>EmpLN15</t>
  </si>
  <si>
    <t>Wife15</t>
  </si>
  <si>
    <t>EmpFN16</t>
  </si>
  <si>
    <t>EmpLN16</t>
  </si>
  <si>
    <t>Wife16</t>
  </si>
  <si>
    <t>EmpFN17</t>
  </si>
  <si>
    <t>EmpLN17</t>
  </si>
  <si>
    <t>Wife17</t>
  </si>
  <si>
    <t>EmpFN18</t>
  </si>
  <si>
    <t>EmpLN18</t>
  </si>
  <si>
    <t>Wife18</t>
  </si>
  <si>
    <t>EmpFN19</t>
  </si>
  <si>
    <t>EmpLN19</t>
  </si>
  <si>
    <t>Wife19</t>
  </si>
  <si>
    <t>EmpFN20</t>
  </si>
  <si>
    <t>EmpLN20</t>
  </si>
  <si>
    <t>Wife20</t>
  </si>
  <si>
    <t>Driver</t>
  </si>
  <si>
    <t>EmpFN21</t>
  </si>
  <si>
    <t>EmpLN21</t>
  </si>
  <si>
    <t>Wife21</t>
  </si>
  <si>
    <t>EmpFN22</t>
  </si>
  <si>
    <t>EmpLN22</t>
  </si>
  <si>
    <t>Wife22</t>
  </si>
  <si>
    <t>EmpFN23</t>
  </si>
  <si>
    <t>EmpLN23</t>
  </si>
  <si>
    <t>Wife23</t>
  </si>
  <si>
    <t>EmpFN24</t>
  </si>
  <si>
    <t>EmpLN24</t>
  </si>
  <si>
    <t>Wife24</t>
  </si>
  <si>
    <t>EmpFN25</t>
  </si>
  <si>
    <t>EmpLN25</t>
  </si>
  <si>
    <t>Wife25</t>
  </si>
  <si>
    <t>EmpFN26</t>
  </si>
  <si>
    <t>EmpLN26</t>
  </si>
  <si>
    <t>Wife26</t>
  </si>
  <si>
    <t>EmpFN27</t>
  </si>
  <si>
    <t>EmpLN27</t>
  </si>
  <si>
    <t>Wife27</t>
  </si>
  <si>
    <t>EmpFN28</t>
  </si>
  <si>
    <t>EmpLN28</t>
  </si>
  <si>
    <t>Wife28</t>
  </si>
  <si>
    <t>EmpFN29</t>
  </si>
  <si>
    <t>EmpLN29</t>
  </si>
  <si>
    <t>Wife29</t>
  </si>
  <si>
    <t>EmpFN30</t>
  </si>
  <si>
    <t>EmpLN30</t>
  </si>
  <si>
    <t>Wife30</t>
  </si>
  <si>
    <t>EmpFN31</t>
  </si>
  <si>
    <t>EmpLN31</t>
  </si>
  <si>
    <t>Wife31</t>
  </si>
  <si>
    <t>EmpFN32</t>
  </si>
  <si>
    <t>EmpLN32</t>
  </si>
  <si>
    <t>Wife32</t>
  </si>
  <si>
    <t>EmpFN33</t>
  </si>
  <si>
    <t>EmpLN33</t>
  </si>
  <si>
    <t>Wife33</t>
  </si>
  <si>
    <t>EmpFN34</t>
  </si>
  <si>
    <t>EmpLN34</t>
  </si>
  <si>
    <t>Wife34</t>
  </si>
  <si>
    <t>EmpFN35</t>
  </si>
  <si>
    <t>EmpLN35</t>
  </si>
  <si>
    <t>Wife35</t>
  </si>
  <si>
    <t>EmpFN36</t>
  </si>
  <si>
    <t>EmpLN36</t>
  </si>
  <si>
    <t>Wife36</t>
  </si>
  <si>
    <t>EmpFN37</t>
  </si>
  <si>
    <t>EmpLN37</t>
  </si>
  <si>
    <t>Wife37</t>
  </si>
  <si>
    <t>EmpFN38</t>
  </si>
  <si>
    <t>EmpLN38</t>
  </si>
  <si>
    <t>Wife38</t>
  </si>
  <si>
    <t>EmpFN39</t>
  </si>
  <si>
    <t>EmpLN39</t>
  </si>
  <si>
    <t>Wife39</t>
  </si>
  <si>
    <t>EmpFN40</t>
  </si>
  <si>
    <t>EmpLN40</t>
  </si>
  <si>
    <t>Wife40</t>
  </si>
  <si>
    <t>EmpFN41</t>
  </si>
  <si>
    <t>EmpLN41</t>
  </si>
  <si>
    <t>Wife41</t>
  </si>
  <si>
    <t>EmpFN42</t>
  </si>
  <si>
    <t>EmpLN42</t>
  </si>
  <si>
    <t>Wife42</t>
  </si>
  <si>
    <t>EmpFN43</t>
  </si>
  <si>
    <t>EmpLN43</t>
  </si>
  <si>
    <t>Wife43</t>
  </si>
  <si>
    <t>EmpFN44</t>
  </si>
  <si>
    <t>EmpLN44</t>
  </si>
  <si>
    <t>Wife44</t>
  </si>
  <si>
    <t>EmpFN45</t>
  </si>
  <si>
    <t>EmpLN45</t>
  </si>
  <si>
    <t>Wife45</t>
  </si>
  <si>
    <t>EmpFN46</t>
  </si>
  <si>
    <t>EmpLN46</t>
  </si>
  <si>
    <t>Wife46</t>
  </si>
  <si>
    <t>EmpFN47</t>
  </si>
  <si>
    <t>EmpLN47</t>
  </si>
  <si>
    <t>Wife47</t>
  </si>
  <si>
    <t>EmpFN48</t>
  </si>
  <si>
    <t>EmpLN48</t>
  </si>
  <si>
    <t>Wife48</t>
  </si>
  <si>
    <t>EmpFN49</t>
  </si>
  <si>
    <t>EmpLN49</t>
  </si>
  <si>
    <t>Wife49</t>
  </si>
  <si>
    <t>EmpFN50</t>
  </si>
  <si>
    <t>EmpLN50</t>
  </si>
  <si>
    <t>Wife50</t>
  </si>
  <si>
    <t>EmpFN51</t>
  </si>
  <si>
    <t>EmpLN51</t>
  </si>
  <si>
    <t>Wife51</t>
  </si>
  <si>
    <t>EmpFN52</t>
  </si>
  <si>
    <t>EmpLN52</t>
  </si>
  <si>
    <t>Wife52</t>
  </si>
  <si>
    <t>EmpFN53</t>
  </si>
  <si>
    <t>EmpLN53</t>
  </si>
  <si>
    <t>Wife53</t>
  </si>
  <si>
    <t>EmpFN54</t>
  </si>
  <si>
    <t>EmpLN54</t>
  </si>
  <si>
    <t>Wife54</t>
  </si>
  <si>
    <t>EmpFN55</t>
  </si>
  <si>
    <t>EmpLN55</t>
  </si>
  <si>
    <t>Wife55</t>
  </si>
  <si>
    <t>EmpFN56</t>
  </si>
  <si>
    <t>EmpLN56</t>
  </si>
  <si>
    <t>Wife56</t>
  </si>
  <si>
    <t>EmpFN57</t>
  </si>
  <si>
    <t>EmpLN57</t>
  </si>
  <si>
    <t>Wife57</t>
  </si>
  <si>
    <t>EmpFN58</t>
  </si>
  <si>
    <t>EmpLN58</t>
  </si>
  <si>
    <t>Wife58</t>
  </si>
  <si>
    <t>EmpFN59</t>
  </si>
  <si>
    <t>EmpLN59</t>
  </si>
  <si>
    <t>Wife59</t>
  </si>
  <si>
    <t>EmpFN60</t>
  </si>
  <si>
    <t>EmpLN60</t>
  </si>
  <si>
    <t>Wife60</t>
  </si>
  <si>
    <t>EmpFN61</t>
  </si>
  <si>
    <t>EmpLN61</t>
  </si>
  <si>
    <t>Wife61</t>
  </si>
  <si>
    <t>EmpFN62</t>
  </si>
  <si>
    <t>EmpLN62</t>
  </si>
  <si>
    <t>Wife62</t>
  </si>
  <si>
    <t>EmpFN63</t>
  </si>
  <si>
    <t>EmpLN63</t>
  </si>
  <si>
    <t>Wife63</t>
  </si>
  <si>
    <t>EmpFN64</t>
  </si>
  <si>
    <t>EmpLN64</t>
  </si>
  <si>
    <t>Wife64</t>
  </si>
  <si>
    <t>EmpFN65</t>
  </si>
  <si>
    <t>EmpLN65</t>
  </si>
  <si>
    <t>Wife65</t>
  </si>
  <si>
    <t>EmpFN66</t>
  </si>
  <si>
    <t>EmpLN66</t>
  </si>
  <si>
    <t>Wife66</t>
  </si>
  <si>
    <t>EmpFN67</t>
  </si>
  <si>
    <t>EmpLN67</t>
  </si>
  <si>
    <t>Wife67</t>
  </si>
  <si>
    <t>EmpFN68</t>
  </si>
  <si>
    <t>EmpLN68</t>
  </si>
  <si>
    <t>Wife68</t>
  </si>
  <si>
    <t>EmpFN69</t>
  </si>
  <si>
    <t>EmpLN69</t>
  </si>
  <si>
    <t>Wife69</t>
  </si>
  <si>
    <t>EmpFN70</t>
  </si>
  <si>
    <t>EmpLN70</t>
  </si>
  <si>
    <t>Wife70</t>
  </si>
  <si>
    <t>EmpFN71</t>
  </si>
  <si>
    <t>EmpLN71</t>
  </si>
  <si>
    <t>Wife71</t>
  </si>
  <si>
    <t>EmpFN72</t>
  </si>
  <si>
    <t>EmpLN72</t>
  </si>
  <si>
    <t>Wife72</t>
  </si>
  <si>
    <t>EmpFN73</t>
  </si>
  <si>
    <t>EmpLN73</t>
  </si>
  <si>
    <t>Wife73</t>
  </si>
  <si>
    <t>EmpFN74</t>
  </si>
  <si>
    <t>EmpLN74</t>
  </si>
  <si>
    <t>Wife74</t>
  </si>
  <si>
    <t>EmpFN75</t>
  </si>
  <si>
    <t>EmpLN75</t>
  </si>
  <si>
    <t>Wife75</t>
  </si>
  <si>
    <t>EmpFN76</t>
  </si>
  <si>
    <t>EmpLN76</t>
  </si>
  <si>
    <t>Wife76</t>
  </si>
  <si>
    <t>EmpFN77</t>
  </si>
  <si>
    <t>EmpLN77</t>
  </si>
  <si>
    <t>Wife77</t>
  </si>
  <si>
    <t>EmpFN78</t>
  </si>
  <si>
    <t>EmpLN78</t>
  </si>
  <si>
    <t>Wife78</t>
  </si>
  <si>
    <t>EmpFN79</t>
  </si>
  <si>
    <t>EmpLN79</t>
  </si>
  <si>
    <t>Wife79</t>
  </si>
  <si>
    <t>EmpFN80</t>
  </si>
  <si>
    <t>EmpLN80</t>
  </si>
  <si>
    <t>Wife80</t>
  </si>
  <si>
    <t>EmpFN81</t>
  </si>
  <si>
    <t>EmpLN81</t>
  </si>
  <si>
    <t>Wife81</t>
  </si>
  <si>
    <t>EmpFN82</t>
  </si>
  <si>
    <t>EmpLN82</t>
  </si>
  <si>
    <t>Wife82</t>
  </si>
  <si>
    <t>EmpFN83</t>
  </si>
  <si>
    <t>EmpLN83</t>
  </si>
  <si>
    <t>Wife83</t>
  </si>
  <si>
    <t>EmpFN84</t>
  </si>
  <si>
    <t>EmpLN84</t>
  </si>
  <si>
    <t>Wife84</t>
  </si>
  <si>
    <t>EmpFN85</t>
  </si>
  <si>
    <t>EmpLN85</t>
  </si>
  <si>
    <t>Wife85</t>
  </si>
  <si>
    <t>EmpFN86</t>
  </si>
  <si>
    <t>EmpLN86</t>
  </si>
  <si>
    <t>Wife86</t>
  </si>
  <si>
    <t>EmpFN87</t>
  </si>
  <si>
    <t>EmpLN87</t>
  </si>
  <si>
    <t>Wife87</t>
  </si>
  <si>
    <t>EmpFN88</t>
  </si>
  <si>
    <t>EmpLN88</t>
  </si>
  <si>
    <t>Wife88</t>
  </si>
  <si>
    <t>EmpFN89</t>
  </si>
  <si>
    <t>EmpLN89</t>
  </si>
  <si>
    <t>Wife89</t>
  </si>
  <si>
    <t>EmpFN90</t>
  </si>
  <si>
    <t>EmpLN90</t>
  </si>
  <si>
    <t>Wife90</t>
  </si>
  <si>
    <t>EmpFN91</t>
  </si>
  <si>
    <t>EmpLN91</t>
  </si>
  <si>
    <t>Wife91</t>
  </si>
  <si>
    <t>EmpFN92</t>
  </si>
  <si>
    <t>EmpLN92</t>
  </si>
  <si>
    <t>Wife92</t>
  </si>
  <si>
    <t>EmpFN93</t>
  </si>
  <si>
    <t>EmpLN93</t>
  </si>
  <si>
    <t>Wife93</t>
  </si>
  <si>
    <t>EmpFN94</t>
  </si>
  <si>
    <t>EmpLN94</t>
  </si>
  <si>
    <t>Wife94</t>
  </si>
  <si>
    <t>EmpFN95</t>
  </si>
  <si>
    <t>EmpLN95</t>
  </si>
  <si>
    <t>Wife95</t>
  </si>
  <si>
    <t>EmpFN96</t>
  </si>
  <si>
    <t>EmpLN96</t>
  </si>
  <si>
    <t>Wife96</t>
  </si>
  <si>
    <t>EmpFN97</t>
  </si>
  <si>
    <t>EmpLN97</t>
  </si>
  <si>
    <t>Wife97</t>
  </si>
  <si>
    <t>EmpFN98</t>
  </si>
  <si>
    <t>EmpLN98</t>
  </si>
  <si>
    <t>Wife98</t>
  </si>
  <si>
    <t>EmpFN99</t>
  </si>
  <si>
    <t>EmpLN99</t>
  </si>
  <si>
    <t>Wife99</t>
  </si>
  <si>
    <t>EmpFN100</t>
  </si>
  <si>
    <t>EmpLN100</t>
  </si>
  <si>
    <t>Wife100</t>
  </si>
  <si>
    <t>EmpFN101</t>
  </si>
  <si>
    <t>EmpLN101</t>
  </si>
  <si>
    <t>Wife101</t>
  </si>
  <si>
    <t>EmpFN102</t>
  </si>
  <si>
    <t>EmpLN102</t>
  </si>
  <si>
    <t>Wife102</t>
  </si>
  <si>
    <t>EmpFN103</t>
  </si>
  <si>
    <t>EmpLN103</t>
  </si>
  <si>
    <t>Wife103</t>
  </si>
  <si>
    <t>EmpFN104</t>
  </si>
  <si>
    <t>EmpLN104</t>
  </si>
  <si>
    <t>Wife104</t>
  </si>
  <si>
    <t>EmpFN105</t>
  </si>
  <si>
    <t>EmpLN105</t>
  </si>
  <si>
    <t>Wife105</t>
  </si>
  <si>
    <t>EmpFN106</t>
  </si>
  <si>
    <t>EmpLN106</t>
  </si>
  <si>
    <t>Wife106</t>
  </si>
  <si>
    <t>EmpFN107</t>
  </si>
  <si>
    <t>EmpLN107</t>
  </si>
  <si>
    <t>Wife107</t>
  </si>
  <si>
    <t>EmpFN108</t>
  </si>
  <si>
    <t>EmpLN108</t>
  </si>
  <si>
    <t>Wife108</t>
  </si>
  <si>
    <t>EmpFN109</t>
  </si>
  <si>
    <t>EmpLN109</t>
  </si>
  <si>
    <t>Wife109</t>
  </si>
  <si>
    <t>EmpFN110</t>
  </si>
  <si>
    <t>EmpLN110</t>
  </si>
  <si>
    <t>Wife110</t>
  </si>
  <si>
    <t>EmpFN111</t>
  </si>
  <si>
    <t>EmpLN111</t>
  </si>
  <si>
    <t>Wife111</t>
  </si>
  <si>
    <t>EmpFN112</t>
  </si>
  <si>
    <t>EmpLN112</t>
  </si>
  <si>
    <t>Wife112</t>
  </si>
  <si>
    <t>EmpFN113</t>
  </si>
  <si>
    <t>EmpLN113</t>
  </si>
  <si>
    <t>Wife113</t>
  </si>
  <si>
    <t>EmpFN114</t>
  </si>
  <si>
    <t>EmpLN114</t>
  </si>
  <si>
    <t>Wife114</t>
  </si>
  <si>
    <t>EmpFN115</t>
  </si>
  <si>
    <t>EmpLN115</t>
  </si>
  <si>
    <t>Wife115</t>
  </si>
  <si>
    <t>EmpFN116</t>
  </si>
  <si>
    <t>EmpLN116</t>
  </si>
  <si>
    <t>Wife116</t>
  </si>
  <si>
    <t>EmpFN117</t>
  </si>
  <si>
    <t>EmpLN117</t>
  </si>
  <si>
    <t>Wife117</t>
  </si>
  <si>
    <t>EmpFN118</t>
  </si>
  <si>
    <t>EmpLN118</t>
  </si>
  <si>
    <t>Wife118</t>
  </si>
  <si>
    <t>EmpFN119</t>
  </si>
  <si>
    <t>EmpLN119</t>
  </si>
  <si>
    <t>Wife119</t>
  </si>
  <si>
    <t>EmpFN120</t>
  </si>
  <si>
    <t>EmpLN120</t>
  </si>
  <si>
    <t>Wife120</t>
  </si>
  <si>
    <t>GeneratedEmail</t>
  </si>
  <si>
    <t>Country</t>
  </si>
  <si>
    <t>Count</t>
  </si>
  <si>
    <t>Job_type</t>
  </si>
  <si>
    <t>Job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</si>
</sst>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employee!$N$1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employee!$M$2:$M$6</c:f>
              <c:strCache>
                <c:ptCount val="5"/>
                <c:pt idx="0">
                  <c:v>Technician</c:v>
                </c:pt>
                <c:pt idx="1">
                  <c:v>Digger</c:v>
                </c:pt>
                <c:pt idx="2">
                  <c:v>Engineer</c:v>
                </c:pt>
                <c:pt idx="3">
                  <c:v>Admin</c:v>
                </c:pt>
                <c:pt idx="4">
                  <c:v>Driver</c:v>
                </c:pt>
              </c:strCache>
            </c:strRef>
          </c:cat>
          <c:val>
            <c:numRef>
              <c:f>employee!$N$2:$N$6</c:f>
              <c:numCache>
                <c:formatCode>General</c:formatCode>
                <c:ptCount val="5"/>
                <c:pt idx="0">
                  <c:v>24</c:v>
                </c:pt>
                <c:pt idx="1">
                  <c:v>26</c:v>
                </c:pt>
                <c:pt idx="2">
                  <c:v>26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A-47F8-973E-AC0519F05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319402783"/>
        <c:axId val="1319422943"/>
      </c:barChart>
      <c:catAx>
        <c:axId val="131940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22943"/>
        <c:crosses val="autoZero"/>
        <c:auto val="1"/>
        <c:lblAlgn val="ctr"/>
        <c:lblOffset val="100"/>
        <c:noMultiLvlLbl val="0"/>
      </c:catAx>
      <c:valAx>
        <c:axId val="13194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Employees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0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employee!$N$1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21-4DFE-BDF4-9BFFA42363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5B-483D-967E-406D93EAF6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5B-483D-967E-406D93EAF6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5B-483D-967E-406D93EAF6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5B-483D-967E-406D93EAF6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5B-483D-967E-406D93EAF6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55B-483D-967E-406D93EAF6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5B-483D-967E-406D93EAF6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5B-483D-967E-406D93EAF6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55B-483D-967E-406D93EAF6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55B-483D-967E-406D93EAF6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55B-483D-967E-406D93EAF6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55B-483D-967E-406D93EAF6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55B-483D-967E-406D93EAF6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55B-483D-967E-406D93EAF6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55B-483D-967E-406D93EAF6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55B-483D-967E-406D93EAF6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55B-483D-967E-406D93EAF6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55B-483D-967E-406D93EAF6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55B-483D-967E-406D93EAF6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55B-483D-967E-406D93EAF6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55B-483D-967E-406D93EAF6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55B-483D-967E-406D93EAF6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55B-483D-967E-406D93EAF6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55B-483D-967E-406D93EAF6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55B-483D-967E-406D93EAF6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55B-483D-967E-406D93EAF6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55B-483D-967E-406D93EAF6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55B-483D-967E-406D93EAF6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55B-483D-967E-406D93EAF6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55B-483D-967E-406D93EAF6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55B-483D-967E-406D93EAF6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55B-483D-967E-406D93EAF6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55B-483D-967E-406D93EAF6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55B-483D-967E-406D93EAF6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55B-483D-967E-406D93EAF6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55B-483D-967E-406D93EAF6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55B-483D-967E-406D93EAF6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55B-483D-967E-406D93EAF6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55B-483D-967E-406D93EAF6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55B-483D-967E-406D93EAF6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55B-483D-967E-406D93EAF6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55B-483D-967E-406D93EAF6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55B-483D-967E-406D93EAF6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55B-483D-967E-406D93EAF6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55B-483D-967E-406D93EAF6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55B-483D-967E-406D93EAF6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55B-483D-967E-406D93EAF6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55B-483D-967E-406D93EAF6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55B-483D-967E-406D93EAF6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55B-483D-967E-406D93EAF6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55B-483D-967E-406D93EAF6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55B-483D-967E-406D93EAF6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55B-483D-967E-406D93EAF6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55B-483D-967E-406D93EAF6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55B-483D-967E-406D93EAF6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55B-483D-967E-406D93EAF6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55B-483D-967E-406D93EAF6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55B-483D-967E-406D93EAF6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55B-483D-967E-406D93EAF6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55B-483D-967E-406D93EAF6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55B-483D-967E-406D93EAF6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55B-483D-967E-406D93EAF6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55B-483D-967E-406D93EAF6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55B-483D-967E-406D93EAF6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55B-483D-967E-406D93EAF6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55B-483D-967E-406D93EAF6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55B-483D-967E-406D93EAF6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55B-483D-967E-406D93EAF6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55B-483D-967E-406D93EAF6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55B-483D-967E-406D93EAF6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55B-483D-967E-406D93EAF6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55B-483D-967E-406D93EAF6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55B-483D-967E-406D93EAF6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55B-483D-967E-406D93EAF6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55B-483D-967E-406D93EAF6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55B-483D-967E-406D93EAF6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55B-483D-967E-406D93EAF6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55B-483D-967E-406D93EAF6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55B-483D-967E-406D93EAF6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55B-483D-967E-406D93EAF6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55B-483D-967E-406D93EAF6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55B-483D-967E-406D93EAF6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55B-483D-967E-406D93EAF6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55B-483D-967E-406D93EAF6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055B-483D-967E-406D93EAF6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055B-483D-967E-406D93EAF6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055B-483D-967E-406D93EAF6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055B-483D-967E-406D93EAF6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055B-483D-967E-406D93EAF6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055B-483D-967E-406D93EAF6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055B-483D-967E-406D93EAF6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055B-483D-967E-406D93EAF6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055B-483D-967E-406D93EAF6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055B-483D-967E-406D93EAF6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055B-483D-967E-406D93EAF6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055B-483D-967E-406D93EAF6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055B-483D-967E-406D93EAF6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055B-483D-967E-406D93EAF6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055B-483D-967E-406D93EAF6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055B-483D-967E-406D93EAF6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055B-483D-967E-406D93EAF6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055B-483D-967E-406D93EAF6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055B-483D-967E-406D93EAF6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055B-483D-967E-406D93EAF6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055B-483D-967E-406D93EAF6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055B-483D-967E-406D93EAF6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055B-483D-967E-406D93EAF6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055B-483D-967E-406D93EAF6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55B-483D-967E-406D93EAF6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055B-483D-967E-406D93EAF6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055B-483D-967E-406D93EAF6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055B-483D-967E-406D93EAF6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055B-483D-967E-406D93EAF6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055B-483D-967E-406D93EAF6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055B-483D-967E-406D93EAF6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055B-483D-967E-406D93EAF6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055B-483D-967E-406D93EAF6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055B-483D-967E-406D93EAF6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55B-483D-967E-406D93EAF6EB}"/>
              </c:ext>
            </c:extLst>
          </c:dPt>
          <c:dLbls>
            <c:dLbl>
              <c:idx val="0"/>
              <c:layout>
                <c:manualLayout>
                  <c:x val="-0.12497719867709627"/>
                  <c:y val="0.1873797144000209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21-4DFE-BDF4-9BFFA42363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employee!$M$2:$M$121</c:f>
              <c:strCache>
                <c:ptCount val="5"/>
                <c:pt idx="0">
                  <c:v>Technician</c:v>
                </c:pt>
                <c:pt idx="1">
                  <c:v>Digger</c:v>
                </c:pt>
                <c:pt idx="2">
                  <c:v>Engineer</c:v>
                </c:pt>
                <c:pt idx="3">
                  <c:v>Admin</c:v>
                </c:pt>
                <c:pt idx="4">
                  <c:v>Driver</c:v>
                </c:pt>
              </c:strCache>
            </c:strRef>
          </c:cat>
          <c:val>
            <c:numRef>
              <c:f>employee!$N$2:$N$121</c:f>
              <c:numCache>
                <c:formatCode>General</c:formatCode>
                <c:ptCount val="120"/>
                <c:pt idx="0">
                  <c:v>24</c:v>
                </c:pt>
                <c:pt idx="1">
                  <c:v>26</c:v>
                </c:pt>
                <c:pt idx="2">
                  <c:v>26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1-4DFE-BDF4-9BFFA42363F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345141</xdr:colOff>
      <xdr:row>8</xdr:row>
      <xdr:rowOff>0</xdr:rowOff>
    </xdr:from>
    <xdr:to>
      <xdr:col>16</xdr:col>
      <xdr:colOff>309282</xdr:colOff>
      <xdr:row>23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FDBCA-12C5-A508-DA14-2093ECF5A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363070</xdr:colOff>
      <xdr:row>23</xdr:row>
      <xdr:rowOff>71718</xdr:rowOff>
    </xdr:from>
    <xdr:to>
      <xdr:col>16</xdr:col>
      <xdr:colOff>327211</xdr:colOff>
      <xdr:row>38</xdr:row>
      <xdr:rowOff>125507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2EFC17-3908-3B15-B21D-EB26EA92B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51A7-A568-4313-B5E7-06B4FB19C9E3}">
  <dimension ref="A1:P121"/>
  <sheetViews>
    <sheetView tabSelected="1" zoomScale="55" zoomScaleNormal="55" workbookViewId="0">
      <selection activeCell="W33" sqref="W32:W33"/>
    </sheetView>
  </sheetViews>
  <sheetFormatPr defaultRowHeight="14.4" x14ac:dyDescent="0.3"/>
  <cols>
    <col min="1" max="1" width="8.88671875" style="1"/>
    <col min="2" max="2" width="14.21875" style="1" customWidth="1"/>
    <col min="3" max="4" width="8.88671875" style="1"/>
    <col min="5" max="5" width="12.6640625" style="1" customWidth="1"/>
    <col min="6" max="6" width="21.6640625" style="1" customWidth="1"/>
    <col min="7" max="7" width="14" style="1" customWidth="1"/>
    <col min="8" max="8" width="8.88671875" style="1"/>
    <col min="9" max="9" width="13.77734375" style="1" customWidth="1"/>
    <col min="10" max="10" width="12.109375" style="1" customWidth="1"/>
    <col min="11" max="11" width="8.88671875" style="1"/>
    <col min="12" max="12" width="33.33203125" customWidth="1"/>
    <col min="13" max="13" width="26.88671875" style="2" customWidth="1"/>
    <col min="14" max="14" width="15.5546875" style="2" customWidth="1"/>
    <col min="15" max="15" width="15.77734375" style="2" customWidth="1"/>
    <col min="16" max="16" width="8.88671875" style="2"/>
  </cols>
  <sheetData>
    <row r="1" spans="1:16" x14ac:dyDescent="0.3">
      <c r="A1" s="1" t="s">
        <v>0</v>
      </c>
      <c r="B1" s="1" t="s">
        <v>384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381</v>
      </c>
      <c r="M1" s="2" t="s">
        <v>385</v>
      </c>
      <c r="N1" s="2" t="s">
        <v>383</v>
      </c>
      <c r="O1" s="2" t="s">
        <v>382</v>
      </c>
      <c r="P1" s="2" t="s">
        <v>383</v>
      </c>
    </row>
    <row r="2" spans="1:16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964785391</v>
      </c>
      <c r="H2" s="1">
        <v>9647321561</v>
      </c>
      <c r="I2" s="1" t="s">
        <v>15</v>
      </c>
      <c r="J2" s="1">
        <v>1</v>
      </c>
      <c r="K2" s="1">
        <v>3</v>
      </c>
      <c r="L2" t="str">
        <f>LOWER(LEFT(C2,1)&amp;"."&amp;D2&amp;"@iraqioil.gov.ir")</f>
        <v>e.empln1@iraqioil.gov.ir</v>
      </c>
      <c r="M2" s="2" t="s">
        <v>10</v>
      </c>
      <c r="N2" s="2">
        <f>COUNTIF(B:B, "Technician")</f>
        <v>24</v>
      </c>
      <c r="O2" s="2" t="s">
        <v>14</v>
      </c>
      <c r="P2" s="2">
        <f>COUNTIF(F:F, "China")</f>
        <v>24</v>
      </c>
    </row>
    <row r="3" spans="1:16" x14ac:dyDescent="0.3">
      <c r="A3" s="1">
        <v>2</v>
      </c>
      <c r="B3" s="1" t="s">
        <v>16</v>
      </c>
      <c r="C3" s="1" t="s">
        <v>17</v>
      </c>
      <c r="D3" s="1" t="s">
        <v>18</v>
      </c>
      <c r="E3" s="1" t="s">
        <v>13</v>
      </c>
      <c r="F3" s="1" t="s">
        <v>19</v>
      </c>
      <c r="G3" s="1">
        <v>9647173956</v>
      </c>
      <c r="H3" s="1">
        <v>9647322798</v>
      </c>
      <c r="I3" s="1" t="s">
        <v>20</v>
      </c>
      <c r="J3" s="1">
        <v>0</v>
      </c>
      <c r="K3" s="1">
        <v>2</v>
      </c>
      <c r="L3" t="str">
        <f t="shared" ref="L3:L66" si="0">LOWER(LEFT(C3,1)&amp;"."&amp;D3&amp;"@iraqioil.gov.ir")</f>
        <v>e.empln2@iraqioil.gov.ir</v>
      </c>
      <c r="M3" s="2" t="s">
        <v>16</v>
      </c>
      <c r="N3" s="2">
        <f>COUNTIF(B:B, "Digger")</f>
        <v>26</v>
      </c>
      <c r="O3" s="2" t="s">
        <v>24</v>
      </c>
      <c r="P3" s="2">
        <f>COUNTIF(F:F, "Germany")</f>
        <v>23</v>
      </c>
    </row>
    <row r="4" spans="1:16" x14ac:dyDescent="0.3">
      <c r="A4" s="1">
        <v>3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24</v>
      </c>
      <c r="G4" s="1">
        <v>9647680637</v>
      </c>
      <c r="H4" s="1">
        <v>964762303</v>
      </c>
      <c r="I4" s="1" t="s">
        <v>25</v>
      </c>
      <c r="J4" s="1">
        <v>1</v>
      </c>
      <c r="K4" s="1">
        <v>1</v>
      </c>
      <c r="L4" t="str">
        <f t="shared" si="0"/>
        <v>e.empln3@iraqioil.gov.ir</v>
      </c>
      <c r="M4" s="2" t="s">
        <v>21</v>
      </c>
      <c r="N4" s="2">
        <f>COUNTIF(B:B, "Engineer")</f>
        <v>26</v>
      </c>
      <c r="O4" s="2" t="s">
        <v>19</v>
      </c>
      <c r="P4" s="2">
        <f>COUNTIF(F:F, "Iraq")</f>
        <v>18</v>
      </c>
    </row>
    <row r="5" spans="1:16" x14ac:dyDescent="0.3">
      <c r="A5" s="1">
        <v>4</v>
      </c>
      <c r="B5" s="1" t="s">
        <v>16</v>
      </c>
      <c r="C5" s="1" t="s">
        <v>26</v>
      </c>
      <c r="D5" s="1" t="s">
        <v>27</v>
      </c>
      <c r="E5" s="1" t="s">
        <v>13</v>
      </c>
      <c r="F5" s="1" t="s">
        <v>24</v>
      </c>
      <c r="G5" s="1">
        <v>9647512402</v>
      </c>
      <c r="H5" s="1">
        <v>964760365</v>
      </c>
      <c r="I5" s="1" t="s">
        <v>28</v>
      </c>
      <c r="J5" s="1">
        <v>3</v>
      </c>
      <c r="K5" s="1">
        <v>2</v>
      </c>
      <c r="L5" t="str">
        <f t="shared" si="0"/>
        <v>e.empln4@iraqioil.gov.ir</v>
      </c>
      <c r="M5" s="2" t="s">
        <v>36</v>
      </c>
      <c r="N5" s="2">
        <f>COUNTIF(B:B, "Admin")</f>
        <v>22</v>
      </c>
      <c r="O5" s="2" t="s">
        <v>31</v>
      </c>
      <c r="P5" s="2">
        <f>COUNTIF(F:F, "South Korea")</f>
        <v>37</v>
      </c>
    </row>
    <row r="6" spans="1:16" x14ac:dyDescent="0.3">
      <c r="A6" s="1">
        <v>5</v>
      </c>
      <c r="B6" s="1" t="s">
        <v>16</v>
      </c>
      <c r="C6" s="1" t="s">
        <v>29</v>
      </c>
      <c r="D6" s="1" t="s">
        <v>30</v>
      </c>
      <c r="E6" s="1" t="s">
        <v>13</v>
      </c>
      <c r="F6" s="1" t="s">
        <v>31</v>
      </c>
      <c r="G6" s="1">
        <v>9647524265</v>
      </c>
      <c r="H6" s="1">
        <v>9647657796</v>
      </c>
      <c r="I6" s="1" t="s">
        <v>32</v>
      </c>
      <c r="J6" s="1">
        <v>3</v>
      </c>
      <c r="K6" s="1">
        <v>2</v>
      </c>
      <c r="L6" t="str">
        <f t="shared" si="0"/>
        <v>e.empln5@iraqioil.gov.ir</v>
      </c>
      <c r="M6" s="2" t="s">
        <v>80</v>
      </c>
      <c r="N6" s="2">
        <f>COUNTIF(B:B, "Driver")</f>
        <v>22</v>
      </c>
    </row>
    <row r="7" spans="1:16" x14ac:dyDescent="0.3">
      <c r="A7" s="1">
        <v>6</v>
      </c>
      <c r="B7" s="1" t="s">
        <v>16</v>
      </c>
      <c r="C7" s="1" t="s">
        <v>33</v>
      </c>
      <c r="D7" s="1" t="s">
        <v>34</v>
      </c>
      <c r="E7" s="1" t="s">
        <v>13</v>
      </c>
      <c r="F7" s="1" t="s">
        <v>31</v>
      </c>
      <c r="G7" s="1">
        <v>9647447776</v>
      </c>
      <c r="H7" s="1">
        <v>9647369784</v>
      </c>
      <c r="I7" s="1" t="s">
        <v>35</v>
      </c>
      <c r="J7" s="1">
        <v>2</v>
      </c>
      <c r="K7" s="1">
        <v>2</v>
      </c>
      <c r="L7" t="str">
        <f t="shared" si="0"/>
        <v>e.empln6@iraqioil.gov.ir</v>
      </c>
    </row>
    <row r="8" spans="1:16" x14ac:dyDescent="0.3">
      <c r="A8" s="1">
        <v>7</v>
      </c>
      <c r="B8" s="1" t="s">
        <v>36</v>
      </c>
      <c r="C8" s="1" t="s">
        <v>37</v>
      </c>
      <c r="D8" s="1" t="s">
        <v>38</v>
      </c>
      <c r="E8" s="1" t="s">
        <v>13</v>
      </c>
      <c r="F8" s="1" t="s">
        <v>31</v>
      </c>
      <c r="G8" s="1">
        <v>9647399177</v>
      </c>
      <c r="H8" s="1">
        <v>9647119057</v>
      </c>
      <c r="I8" s="1" t="s">
        <v>39</v>
      </c>
      <c r="J8" s="1">
        <v>1</v>
      </c>
      <c r="K8" s="1">
        <v>2</v>
      </c>
      <c r="L8" t="str">
        <f t="shared" si="0"/>
        <v>e.empln7@iraqioil.gov.ir</v>
      </c>
    </row>
    <row r="9" spans="1:16" x14ac:dyDescent="0.3">
      <c r="A9" s="1">
        <v>8</v>
      </c>
      <c r="B9" s="1" t="s">
        <v>16</v>
      </c>
      <c r="C9" s="1" t="s">
        <v>40</v>
      </c>
      <c r="D9" s="1" t="s">
        <v>41</v>
      </c>
      <c r="E9" s="1" t="s">
        <v>13</v>
      </c>
      <c r="F9" s="1" t="s">
        <v>42</v>
      </c>
      <c r="G9" s="1">
        <v>9647750130</v>
      </c>
      <c r="H9" s="1">
        <v>9647964056</v>
      </c>
      <c r="I9" s="1" t="s">
        <v>43</v>
      </c>
      <c r="J9" s="1">
        <v>2</v>
      </c>
      <c r="K9" s="1">
        <v>3</v>
      </c>
      <c r="L9" t="str">
        <f t="shared" si="0"/>
        <v>e.empln8@iraqioil.gov.ir</v>
      </c>
    </row>
    <row r="10" spans="1:16" x14ac:dyDescent="0.3">
      <c r="A10" s="1">
        <v>9</v>
      </c>
      <c r="B10" s="1" t="s">
        <v>21</v>
      </c>
      <c r="C10" s="1" t="s">
        <v>44</v>
      </c>
      <c r="D10" s="1" t="s">
        <v>45</v>
      </c>
      <c r="E10" s="1" t="s">
        <v>13</v>
      </c>
      <c r="F10" s="1" t="s">
        <v>24</v>
      </c>
      <c r="G10" s="1">
        <v>9647328464</v>
      </c>
      <c r="H10" s="1">
        <v>9647107169</v>
      </c>
      <c r="I10" s="1" t="s">
        <v>46</v>
      </c>
      <c r="J10" s="1">
        <v>2</v>
      </c>
      <c r="K10" s="1">
        <v>2</v>
      </c>
      <c r="L10" t="str">
        <f t="shared" si="0"/>
        <v>e.empln9@iraqioil.gov.ir</v>
      </c>
    </row>
    <row r="11" spans="1:16" x14ac:dyDescent="0.3">
      <c r="A11" s="1">
        <v>10</v>
      </c>
      <c r="B11" s="1" t="s">
        <v>36</v>
      </c>
      <c r="C11" s="1" t="s">
        <v>47</v>
      </c>
      <c r="D11" s="1" t="s">
        <v>48</v>
      </c>
      <c r="E11" s="1" t="s">
        <v>13</v>
      </c>
      <c r="F11" s="1" t="s">
        <v>14</v>
      </c>
      <c r="G11" s="1">
        <v>9647592208</v>
      </c>
      <c r="H11" s="1">
        <v>9647301332</v>
      </c>
      <c r="I11" s="1" t="s">
        <v>49</v>
      </c>
      <c r="J11" s="1">
        <v>3</v>
      </c>
      <c r="K11" s="1">
        <v>3</v>
      </c>
      <c r="L11" t="str">
        <f t="shared" si="0"/>
        <v>e.empln10@iraqioil.gov.ir</v>
      </c>
    </row>
    <row r="12" spans="1:16" x14ac:dyDescent="0.3">
      <c r="A12" s="1">
        <v>11</v>
      </c>
      <c r="B12" s="1" t="s">
        <v>36</v>
      </c>
      <c r="C12" s="1" t="s">
        <v>50</v>
      </c>
      <c r="D12" s="1" t="s">
        <v>51</v>
      </c>
      <c r="E12" s="1" t="s">
        <v>13</v>
      </c>
      <c r="F12" s="1" t="s">
        <v>24</v>
      </c>
      <c r="G12" s="1">
        <v>9647704749</v>
      </c>
      <c r="H12" s="1">
        <v>9647127470</v>
      </c>
      <c r="I12" s="1" t="s">
        <v>52</v>
      </c>
      <c r="J12" s="1">
        <v>2</v>
      </c>
      <c r="K12" s="1">
        <v>1</v>
      </c>
      <c r="L12" t="str">
        <f t="shared" si="0"/>
        <v>e.empln11@iraqioil.gov.ir</v>
      </c>
    </row>
    <row r="13" spans="1:16" x14ac:dyDescent="0.3">
      <c r="A13" s="1">
        <v>12</v>
      </c>
      <c r="B13" s="1" t="s">
        <v>36</v>
      </c>
      <c r="C13" s="1" t="s">
        <v>53</v>
      </c>
      <c r="D13" s="1" t="s">
        <v>54</v>
      </c>
      <c r="E13" s="1" t="s">
        <v>13</v>
      </c>
      <c r="F13" s="1" t="s">
        <v>14</v>
      </c>
      <c r="G13" s="1">
        <v>9647620849</v>
      </c>
      <c r="H13" s="1">
        <v>9647258485</v>
      </c>
      <c r="I13" s="1" t="s">
        <v>55</v>
      </c>
      <c r="J13" s="1">
        <v>2</v>
      </c>
      <c r="K13" s="1">
        <v>2</v>
      </c>
      <c r="L13" t="str">
        <f t="shared" si="0"/>
        <v>e.empln12@iraqioil.gov.ir</v>
      </c>
    </row>
    <row r="14" spans="1:16" x14ac:dyDescent="0.3">
      <c r="A14" s="1">
        <v>13</v>
      </c>
      <c r="B14" s="1" t="s">
        <v>36</v>
      </c>
      <c r="C14" s="1" t="s">
        <v>56</v>
      </c>
      <c r="D14" s="1" t="s">
        <v>57</v>
      </c>
      <c r="E14" s="1" t="s">
        <v>13</v>
      </c>
      <c r="F14" s="1" t="s">
        <v>31</v>
      </c>
      <c r="G14" s="1">
        <v>9647151112</v>
      </c>
      <c r="H14" s="1">
        <v>9647420895</v>
      </c>
      <c r="I14" s="1" t="s">
        <v>58</v>
      </c>
      <c r="J14" s="1">
        <v>3</v>
      </c>
      <c r="K14" s="1">
        <v>3</v>
      </c>
      <c r="L14" t="str">
        <f t="shared" si="0"/>
        <v>e.empln13@iraqioil.gov.ir</v>
      </c>
    </row>
    <row r="15" spans="1:16" x14ac:dyDescent="0.3">
      <c r="A15" s="1">
        <v>14</v>
      </c>
      <c r="B15" s="1" t="s">
        <v>21</v>
      </c>
      <c r="C15" s="1" t="s">
        <v>59</v>
      </c>
      <c r="D15" s="1" t="s">
        <v>60</v>
      </c>
      <c r="E15" s="1" t="s">
        <v>13</v>
      </c>
      <c r="F15" s="1" t="s">
        <v>19</v>
      </c>
      <c r="G15" s="1">
        <v>9647360630</v>
      </c>
      <c r="H15" s="1">
        <v>9647565850</v>
      </c>
      <c r="I15" s="1" t="s">
        <v>61</v>
      </c>
      <c r="J15" s="1">
        <v>3</v>
      </c>
      <c r="K15" s="1">
        <v>1</v>
      </c>
      <c r="L15" t="str">
        <f t="shared" si="0"/>
        <v>e.empln14@iraqioil.gov.ir</v>
      </c>
    </row>
    <row r="16" spans="1:16" x14ac:dyDescent="0.3">
      <c r="A16" s="1">
        <v>15</v>
      </c>
      <c r="B16" s="1" t="s">
        <v>16</v>
      </c>
      <c r="C16" s="1" t="s">
        <v>62</v>
      </c>
      <c r="D16" s="1" t="s">
        <v>63</v>
      </c>
      <c r="E16" s="1" t="s">
        <v>13</v>
      </c>
      <c r="F16" s="1" t="s">
        <v>31</v>
      </c>
      <c r="G16" s="1">
        <v>9647402101</v>
      </c>
      <c r="H16" s="1">
        <v>964751826</v>
      </c>
      <c r="I16" s="1" t="s">
        <v>64</v>
      </c>
      <c r="J16" s="1">
        <v>0</v>
      </c>
      <c r="K16" s="1">
        <v>1</v>
      </c>
      <c r="L16" t="str">
        <f t="shared" si="0"/>
        <v>e.empln15@iraqioil.gov.ir</v>
      </c>
    </row>
    <row r="17" spans="1:12" x14ac:dyDescent="0.3">
      <c r="A17" s="1">
        <v>16</v>
      </c>
      <c r="B17" s="1" t="s">
        <v>10</v>
      </c>
      <c r="C17" s="1" t="s">
        <v>65</v>
      </c>
      <c r="D17" s="1" t="s">
        <v>66</v>
      </c>
      <c r="E17" s="1" t="s">
        <v>13</v>
      </c>
      <c r="F17" s="1" t="s">
        <v>24</v>
      </c>
      <c r="G17" s="1">
        <v>9647835589</v>
      </c>
      <c r="H17" s="1">
        <v>9647383970</v>
      </c>
      <c r="I17" s="1" t="s">
        <v>67</v>
      </c>
      <c r="J17" s="1">
        <v>2</v>
      </c>
      <c r="K17" s="1">
        <v>3</v>
      </c>
      <c r="L17" t="str">
        <f t="shared" si="0"/>
        <v>e.empln16@iraqioil.gov.ir</v>
      </c>
    </row>
    <row r="18" spans="1:12" x14ac:dyDescent="0.3">
      <c r="A18" s="1">
        <v>17</v>
      </c>
      <c r="B18" s="1" t="s">
        <v>10</v>
      </c>
      <c r="C18" s="1" t="s">
        <v>68</v>
      </c>
      <c r="D18" s="1" t="s">
        <v>69</v>
      </c>
      <c r="E18" s="1" t="s">
        <v>13</v>
      </c>
      <c r="F18" s="1" t="s">
        <v>42</v>
      </c>
      <c r="G18" s="1">
        <v>9647519883</v>
      </c>
      <c r="H18" s="1">
        <v>9647896551</v>
      </c>
      <c r="I18" s="1" t="s">
        <v>70</v>
      </c>
      <c r="J18" s="1">
        <v>4</v>
      </c>
      <c r="K18" s="1">
        <v>3</v>
      </c>
      <c r="L18" t="str">
        <f t="shared" si="0"/>
        <v>e.empln17@iraqioil.gov.ir</v>
      </c>
    </row>
    <row r="19" spans="1:12" x14ac:dyDescent="0.3">
      <c r="A19" s="1">
        <v>18</v>
      </c>
      <c r="B19" s="1" t="s">
        <v>16</v>
      </c>
      <c r="C19" s="1" t="s">
        <v>71</v>
      </c>
      <c r="D19" s="1" t="s">
        <v>72</v>
      </c>
      <c r="E19" s="1" t="s">
        <v>13</v>
      </c>
      <c r="F19" s="1" t="s">
        <v>24</v>
      </c>
      <c r="G19" s="1">
        <v>964734283</v>
      </c>
      <c r="H19" s="1">
        <v>9647602632</v>
      </c>
      <c r="I19" s="1" t="s">
        <v>73</v>
      </c>
      <c r="J19" s="1">
        <v>4</v>
      </c>
      <c r="K19" s="1">
        <v>3</v>
      </c>
      <c r="L19" t="str">
        <f t="shared" si="0"/>
        <v>e.empln18@iraqioil.gov.ir</v>
      </c>
    </row>
    <row r="20" spans="1:12" x14ac:dyDescent="0.3">
      <c r="A20" s="1">
        <v>19</v>
      </c>
      <c r="B20" s="1" t="s">
        <v>16</v>
      </c>
      <c r="C20" s="1" t="s">
        <v>74</v>
      </c>
      <c r="D20" s="1" t="s">
        <v>75</v>
      </c>
      <c r="E20" s="1" t="s">
        <v>13</v>
      </c>
      <c r="F20" s="1" t="s">
        <v>31</v>
      </c>
      <c r="G20" s="1">
        <v>9647567302</v>
      </c>
      <c r="H20" s="1">
        <v>9647718856</v>
      </c>
      <c r="I20" s="1" t="s">
        <v>76</v>
      </c>
      <c r="J20" s="1">
        <v>4</v>
      </c>
      <c r="K20" s="1">
        <v>1</v>
      </c>
      <c r="L20" t="str">
        <f t="shared" si="0"/>
        <v>e.empln19@iraqioil.gov.ir</v>
      </c>
    </row>
    <row r="21" spans="1:12" x14ac:dyDescent="0.3">
      <c r="A21" s="1">
        <v>20</v>
      </c>
      <c r="B21" s="1" t="s">
        <v>16</v>
      </c>
      <c r="C21" s="1" t="s">
        <v>77</v>
      </c>
      <c r="D21" s="1" t="s">
        <v>78</v>
      </c>
      <c r="E21" s="1" t="s">
        <v>13</v>
      </c>
      <c r="F21" s="1" t="s">
        <v>14</v>
      </c>
      <c r="G21" s="1">
        <v>9647108112</v>
      </c>
      <c r="H21" s="1">
        <v>9647546687</v>
      </c>
      <c r="I21" s="1" t="s">
        <v>79</v>
      </c>
      <c r="J21" s="1">
        <v>2</v>
      </c>
      <c r="K21" s="1">
        <v>2</v>
      </c>
      <c r="L21" t="str">
        <f t="shared" si="0"/>
        <v>e.empln20@iraqioil.gov.ir</v>
      </c>
    </row>
    <row r="22" spans="1:12" x14ac:dyDescent="0.3">
      <c r="A22" s="1">
        <v>21</v>
      </c>
      <c r="B22" s="1" t="s">
        <v>80</v>
      </c>
      <c r="C22" s="1" t="s">
        <v>81</v>
      </c>
      <c r="D22" s="1" t="s">
        <v>82</v>
      </c>
      <c r="E22" s="1" t="s">
        <v>13</v>
      </c>
      <c r="F22" s="1" t="s">
        <v>31</v>
      </c>
      <c r="G22" s="1">
        <v>9647516991</v>
      </c>
      <c r="H22" s="1">
        <v>9647234866</v>
      </c>
      <c r="I22" s="1" t="s">
        <v>83</v>
      </c>
      <c r="J22" s="1">
        <v>3</v>
      </c>
      <c r="K22" s="1">
        <v>2</v>
      </c>
      <c r="L22" t="str">
        <f t="shared" si="0"/>
        <v>e.empln21@iraqioil.gov.ir</v>
      </c>
    </row>
    <row r="23" spans="1:12" x14ac:dyDescent="0.3">
      <c r="A23" s="1">
        <v>22</v>
      </c>
      <c r="B23" s="1" t="s">
        <v>21</v>
      </c>
      <c r="C23" s="1" t="s">
        <v>84</v>
      </c>
      <c r="D23" s="1" t="s">
        <v>85</v>
      </c>
      <c r="E23" s="1" t="s">
        <v>13</v>
      </c>
      <c r="F23" s="1" t="s">
        <v>31</v>
      </c>
      <c r="G23" s="1">
        <v>964715476</v>
      </c>
      <c r="H23" s="1">
        <v>9647924611</v>
      </c>
      <c r="I23" s="1" t="s">
        <v>86</v>
      </c>
      <c r="J23" s="1">
        <v>2</v>
      </c>
      <c r="K23" s="1">
        <v>1</v>
      </c>
      <c r="L23" t="str">
        <f t="shared" si="0"/>
        <v>e.empln22@iraqioil.gov.ir</v>
      </c>
    </row>
    <row r="24" spans="1:12" x14ac:dyDescent="0.3">
      <c r="A24" s="1">
        <v>23</v>
      </c>
      <c r="B24" s="1" t="s">
        <v>16</v>
      </c>
      <c r="C24" s="1" t="s">
        <v>87</v>
      </c>
      <c r="D24" s="1" t="s">
        <v>88</v>
      </c>
      <c r="E24" s="1" t="s">
        <v>13</v>
      </c>
      <c r="F24" s="1" t="s">
        <v>31</v>
      </c>
      <c r="G24" s="1">
        <v>9647326103</v>
      </c>
      <c r="H24" s="1">
        <v>9647364944</v>
      </c>
      <c r="I24" s="1" t="s">
        <v>89</v>
      </c>
      <c r="J24" s="1">
        <v>4</v>
      </c>
      <c r="K24" s="1">
        <v>1</v>
      </c>
      <c r="L24" t="str">
        <f t="shared" si="0"/>
        <v>e.empln23@iraqioil.gov.ir</v>
      </c>
    </row>
    <row r="25" spans="1:12" x14ac:dyDescent="0.3">
      <c r="A25" s="1">
        <v>24</v>
      </c>
      <c r="B25" s="1" t="s">
        <v>21</v>
      </c>
      <c r="C25" s="1" t="s">
        <v>90</v>
      </c>
      <c r="D25" s="1" t="s">
        <v>91</v>
      </c>
      <c r="E25" s="1" t="s">
        <v>13</v>
      </c>
      <c r="F25" s="1" t="s">
        <v>14</v>
      </c>
      <c r="G25" s="1">
        <v>9647172666</v>
      </c>
      <c r="H25" s="1">
        <v>9647895383</v>
      </c>
      <c r="I25" s="1" t="s">
        <v>92</v>
      </c>
      <c r="J25" s="1">
        <v>4</v>
      </c>
      <c r="K25" s="1">
        <v>1</v>
      </c>
      <c r="L25" t="str">
        <f t="shared" si="0"/>
        <v>e.empln24@iraqioil.gov.ir</v>
      </c>
    </row>
    <row r="26" spans="1:12" x14ac:dyDescent="0.3">
      <c r="A26" s="1">
        <v>25</v>
      </c>
      <c r="B26" s="1" t="s">
        <v>80</v>
      </c>
      <c r="C26" s="1" t="s">
        <v>93</v>
      </c>
      <c r="D26" s="1" t="s">
        <v>94</v>
      </c>
      <c r="E26" s="1" t="s">
        <v>13</v>
      </c>
      <c r="F26" s="1" t="s">
        <v>19</v>
      </c>
      <c r="G26" s="1">
        <v>964712400</v>
      </c>
      <c r="H26" s="1">
        <v>964756838</v>
      </c>
      <c r="I26" s="1" t="s">
        <v>95</v>
      </c>
      <c r="J26" s="1">
        <v>1</v>
      </c>
      <c r="K26" s="1">
        <v>1</v>
      </c>
      <c r="L26" t="str">
        <f t="shared" si="0"/>
        <v>e.empln25@iraqioil.gov.ir</v>
      </c>
    </row>
    <row r="27" spans="1:12" x14ac:dyDescent="0.3">
      <c r="A27" s="1">
        <v>26</v>
      </c>
      <c r="B27" s="1" t="s">
        <v>36</v>
      </c>
      <c r="C27" s="1" t="s">
        <v>96</v>
      </c>
      <c r="D27" s="1" t="s">
        <v>97</v>
      </c>
      <c r="E27" s="1" t="s">
        <v>13</v>
      </c>
      <c r="F27" s="1" t="s">
        <v>31</v>
      </c>
      <c r="G27" s="1">
        <v>9647819623</v>
      </c>
      <c r="H27" s="1">
        <v>9647960210</v>
      </c>
      <c r="I27" s="1" t="s">
        <v>98</v>
      </c>
      <c r="J27" s="1">
        <v>1</v>
      </c>
      <c r="K27" s="1">
        <v>3</v>
      </c>
      <c r="L27" t="str">
        <f t="shared" si="0"/>
        <v>e.empln26@iraqioil.gov.ir</v>
      </c>
    </row>
    <row r="28" spans="1:12" x14ac:dyDescent="0.3">
      <c r="A28" s="1">
        <v>27</v>
      </c>
      <c r="B28" s="1" t="s">
        <v>21</v>
      </c>
      <c r="C28" s="1" t="s">
        <v>99</v>
      </c>
      <c r="D28" s="1" t="s">
        <v>100</v>
      </c>
      <c r="E28" s="1" t="s">
        <v>13</v>
      </c>
      <c r="F28" s="1" t="s">
        <v>19</v>
      </c>
      <c r="G28" s="1">
        <v>9647292930</v>
      </c>
      <c r="H28" s="1">
        <v>964764125</v>
      </c>
      <c r="I28" s="1" t="s">
        <v>101</v>
      </c>
      <c r="J28" s="1">
        <v>2</v>
      </c>
      <c r="K28" s="1">
        <v>1</v>
      </c>
      <c r="L28" t="str">
        <f t="shared" si="0"/>
        <v>e.empln27@iraqioil.gov.ir</v>
      </c>
    </row>
    <row r="29" spans="1:12" x14ac:dyDescent="0.3">
      <c r="A29" s="1">
        <v>28</v>
      </c>
      <c r="B29" s="1" t="s">
        <v>80</v>
      </c>
      <c r="C29" s="1" t="s">
        <v>102</v>
      </c>
      <c r="D29" s="1" t="s">
        <v>103</v>
      </c>
      <c r="E29" s="1" t="s">
        <v>13</v>
      </c>
      <c r="F29" s="1" t="s">
        <v>31</v>
      </c>
      <c r="G29" s="1">
        <v>9647433891</v>
      </c>
      <c r="H29" s="1">
        <v>9647943927</v>
      </c>
      <c r="I29" s="1" t="s">
        <v>104</v>
      </c>
      <c r="J29" s="1">
        <v>2</v>
      </c>
      <c r="K29" s="1">
        <v>1</v>
      </c>
      <c r="L29" t="str">
        <f t="shared" si="0"/>
        <v>e.empln28@iraqioil.gov.ir</v>
      </c>
    </row>
    <row r="30" spans="1:12" x14ac:dyDescent="0.3">
      <c r="A30" s="1">
        <v>29</v>
      </c>
      <c r="B30" s="1" t="s">
        <v>21</v>
      </c>
      <c r="C30" s="1" t="s">
        <v>105</v>
      </c>
      <c r="D30" s="1" t="s">
        <v>106</v>
      </c>
      <c r="E30" s="1" t="s">
        <v>13</v>
      </c>
      <c r="F30" s="1" t="s">
        <v>24</v>
      </c>
      <c r="G30" s="1">
        <v>9647927203</v>
      </c>
      <c r="H30" s="1">
        <v>9647414434</v>
      </c>
      <c r="I30" s="1" t="s">
        <v>107</v>
      </c>
      <c r="J30" s="1">
        <v>1</v>
      </c>
      <c r="K30" s="1">
        <v>1</v>
      </c>
      <c r="L30" t="str">
        <f t="shared" si="0"/>
        <v>e.empln29@iraqioil.gov.ir</v>
      </c>
    </row>
    <row r="31" spans="1:12" x14ac:dyDescent="0.3">
      <c r="A31" s="1">
        <v>30</v>
      </c>
      <c r="B31" s="1" t="s">
        <v>21</v>
      </c>
      <c r="C31" s="1" t="s">
        <v>108</v>
      </c>
      <c r="D31" s="1" t="s">
        <v>109</v>
      </c>
      <c r="E31" s="1" t="s">
        <v>13</v>
      </c>
      <c r="F31" s="1" t="s">
        <v>14</v>
      </c>
      <c r="G31" s="1">
        <v>9647726890</v>
      </c>
      <c r="H31" s="1">
        <v>9647881712</v>
      </c>
      <c r="I31" s="1" t="s">
        <v>110</v>
      </c>
      <c r="J31" s="1">
        <v>1</v>
      </c>
      <c r="K31" s="1">
        <v>2</v>
      </c>
      <c r="L31" t="str">
        <f t="shared" si="0"/>
        <v>e.empln30@iraqioil.gov.ir</v>
      </c>
    </row>
    <row r="32" spans="1:12" x14ac:dyDescent="0.3">
      <c r="A32" s="1">
        <v>31</v>
      </c>
      <c r="B32" s="1" t="s">
        <v>80</v>
      </c>
      <c r="C32" s="1" t="s">
        <v>111</v>
      </c>
      <c r="D32" s="1" t="s">
        <v>112</v>
      </c>
      <c r="E32" s="1" t="s">
        <v>13</v>
      </c>
      <c r="F32" s="1" t="s">
        <v>24</v>
      </c>
      <c r="G32" s="1">
        <v>9647918849</v>
      </c>
      <c r="H32" s="1">
        <v>9647224742</v>
      </c>
      <c r="I32" s="1" t="s">
        <v>113</v>
      </c>
      <c r="J32" s="1">
        <v>1</v>
      </c>
      <c r="K32" s="1">
        <v>1</v>
      </c>
      <c r="L32" t="str">
        <f t="shared" si="0"/>
        <v>e.empln31@iraqioil.gov.ir</v>
      </c>
    </row>
    <row r="33" spans="1:12" x14ac:dyDescent="0.3">
      <c r="A33" s="1">
        <v>32</v>
      </c>
      <c r="B33" s="1" t="s">
        <v>80</v>
      </c>
      <c r="C33" s="1" t="s">
        <v>114</v>
      </c>
      <c r="D33" s="1" t="s">
        <v>115</v>
      </c>
      <c r="E33" s="1" t="s">
        <v>13</v>
      </c>
      <c r="F33" s="1" t="s">
        <v>19</v>
      </c>
      <c r="G33" s="1">
        <v>9647117562</v>
      </c>
      <c r="H33" s="1">
        <v>9647445717</v>
      </c>
      <c r="I33" s="1" t="s">
        <v>116</v>
      </c>
      <c r="J33" s="1">
        <v>4</v>
      </c>
      <c r="K33" s="1">
        <v>1</v>
      </c>
      <c r="L33" t="str">
        <f t="shared" si="0"/>
        <v>e.empln32@iraqioil.gov.ir</v>
      </c>
    </row>
    <row r="34" spans="1:12" x14ac:dyDescent="0.3">
      <c r="A34" s="1">
        <v>33</v>
      </c>
      <c r="B34" s="1" t="s">
        <v>36</v>
      </c>
      <c r="C34" s="1" t="s">
        <v>117</v>
      </c>
      <c r="D34" s="1" t="s">
        <v>118</v>
      </c>
      <c r="E34" s="1" t="s">
        <v>13</v>
      </c>
      <c r="F34" s="1" t="s">
        <v>31</v>
      </c>
      <c r="G34" s="1">
        <v>9647213251</v>
      </c>
      <c r="H34" s="1">
        <v>9647687076</v>
      </c>
      <c r="I34" s="1" t="s">
        <v>119</v>
      </c>
      <c r="J34" s="1">
        <v>3</v>
      </c>
      <c r="K34" s="1">
        <v>3</v>
      </c>
      <c r="L34" t="str">
        <f t="shared" si="0"/>
        <v>e.empln33@iraqioil.gov.ir</v>
      </c>
    </row>
    <row r="35" spans="1:12" x14ac:dyDescent="0.3">
      <c r="A35" s="1">
        <v>34</v>
      </c>
      <c r="B35" s="1" t="s">
        <v>21</v>
      </c>
      <c r="C35" s="1" t="s">
        <v>120</v>
      </c>
      <c r="D35" s="1" t="s">
        <v>121</v>
      </c>
      <c r="E35" s="1" t="s">
        <v>13</v>
      </c>
      <c r="F35" s="1" t="s">
        <v>14</v>
      </c>
      <c r="G35" s="1">
        <v>9647593841</v>
      </c>
      <c r="H35" s="1">
        <v>9647257217</v>
      </c>
      <c r="I35" s="1" t="s">
        <v>122</v>
      </c>
      <c r="J35" s="1">
        <v>2</v>
      </c>
      <c r="K35" s="1">
        <v>3</v>
      </c>
      <c r="L35" t="str">
        <f t="shared" si="0"/>
        <v>e.empln34@iraqioil.gov.ir</v>
      </c>
    </row>
    <row r="36" spans="1:12" x14ac:dyDescent="0.3">
      <c r="A36" s="1">
        <v>35</v>
      </c>
      <c r="B36" s="1" t="s">
        <v>10</v>
      </c>
      <c r="C36" s="1" t="s">
        <v>123</v>
      </c>
      <c r="D36" s="1" t="s">
        <v>124</v>
      </c>
      <c r="E36" s="1" t="s">
        <v>13</v>
      </c>
      <c r="F36" s="1" t="s">
        <v>42</v>
      </c>
      <c r="G36" s="1">
        <v>964758956</v>
      </c>
      <c r="H36" s="1">
        <v>9647423618</v>
      </c>
      <c r="I36" s="1" t="s">
        <v>125</v>
      </c>
      <c r="J36" s="1">
        <v>4</v>
      </c>
      <c r="K36" s="1">
        <v>2</v>
      </c>
      <c r="L36" t="str">
        <f t="shared" si="0"/>
        <v>e.empln35@iraqioil.gov.ir</v>
      </c>
    </row>
    <row r="37" spans="1:12" x14ac:dyDescent="0.3">
      <c r="A37" s="1">
        <v>36</v>
      </c>
      <c r="B37" s="1" t="s">
        <v>10</v>
      </c>
      <c r="C37" s="1" t="s">
        <v>126</v>
      </c>
      <c r="D37" s="1" t="s">
        <v>127</v>
      </c>
      <c r="E37" s="1" t="s">
        <v>13</v>
      </c>
      <c r="F37" s="1" t="s">
        <v>24</v>
      </c>
      <c r="G37" s="1">
        <v>9647228097</v>
      </c>
      <c r="H37" s="1">
        <v>9647768976</v>
      </c>
      <c r="I37" s="1" t="s">
        <v>128</v>
      </c>
      <c r="J37" s="1">
        <v>0</v>
      </c>
      <c r="K37" s="1">
        <v>2</v>
      </c>
      <c r="L37" t="str">
        <f t="shared" si="0"/>
        <v>e.empln36@iraqioil.gov.ir</v>
      </c>
    </row>
    <row r="38" spans="1:12" x14ac:dyDescent="0.3">
      <c r="A38" s="1">
        <v>37</v>
      </c>
      <c r="B38" s="1" t="s">
        <v>16</v>
      </c>
      <c r="C38" s="1" t="s">
        <v>129</v>
      </c>
      <c r="D38" s="1" t="s">
        <v>130</v>
      </c>
      <c r="E38" s="1" t="s">
        <v>13</v>
      </c>
      <c r="F38" s="1" t="s">
        <v>24</v>
      </c>
      <c r="G38" s="1">
        <v>9647524393</v>
      </c>
      <c r="H38" s="1">
        <v>9647110198</v>
      </c>
      <c r="I38" s="1" t="s">
        <v>131</v>
      </c>
      <c r="J38" s="1">
        <v>4</v>
      </c>
      <c r="K38" s="1">
        <v>2</v>
      </c>
      <c r="L38" t="str">
        <f t="shared" si="0"/>
        <v>e.empln37@iraqioil.gov.ir</v>
      </c>
    </row>
    <row r="39" spans="1:12" x14ac:dyDescent="0.3">
      <c r="A39" s="1">
        <v>38</v>
      </c>
      <c r="B39" s="1" t="s">
        <v>16</v>
      </c>
      <c r="C39" s="1" t="s">
        <v>132</v>
      </c>
      <c r="D39" s="1" t="s">
        <v>133</v>
      </c>
      <c r="E39" s="1" t="s">
        <v>13</v>
      </c>
      <c r="F39" s="1" t="s">
        <v>31</v>
      </c>
      <c r="G39" s="1">
        <v>9647519243</v>
      </c>
      <c r="H39" s="1">
        <v>9647738606</v>
      </c>
      <c r="I39" s="1" t="s">
        <v>134</v>
      </c>
      <c r="J39" s="1">
        <v>0</v>
      </c>
      <c r="K39" s="1">
        <v>2</v>
      </c>
      <c r="L39" t="str">
        <f t="shared" si="0"/>
        <v>e.empln38@iraqioil.gov.ir</v>
      </c>
    </row>
    <row r="40" spans="1:12" x14ac:dyDescent="0.3">
      <c r="A40" s="1">
        <v>39</v>
      </c>
      <c r="B40" s="1" t="s">
        <v>16</v>
      </c>
      <c r="C40" s="1" t="s">
        <v>135</v>
      </c>
      <c r="D40" s="1" t="s">
        <v>136</v>
      </c>
      <c r="E40" s="1" t="s">
        <v>13</v>
      </c>
      <c r="F40" s="1" t="s">
        <v>19</v>
      </c>
      <c r="G40" s="1">
        <v>9647835683</v>
      </c>
      <c r="H40" s="1">
        <v>9647861423</v>
      </c>
      <c r="I40" s="1" t="s">
        <v>137</v>
      </c>
      <c r="J40" s="1">
        <v>4</v>
      </c>
      <c r="K40" s="1">
        <v>2</v>
      </c>
      <c r="L40" t="str">
        <f t="shared" si="0"/>
        <v>e.empln39@iraqioil.gov.ir</v>
      </c>
    </row>
    <row r="41" spans="1:12" x14ac:dyDescent="0.3">
      <c r="A41" s="1">
        <v>40</v>
      </c>
      <c r="B41" s="1" t="s">
        <v>80</v>
      </c>
      <c r="C41" s="1" t="s">
        <v>138</v>
      </c>
      <c r="D41" s="1" t="s">
        <v>139</v>
      </c>
      <c r="E41" s="1" t="s">
        <v>13</v>
      </c>
      <c r="F41" s="1" t="s">
        <v>19</v>
      </c>
      <c r="G41" s="1">
        <v>9647721391</v>
      </c>
      <c r="H41" s="1">
        <v>9647149934</v>
      </c>
      <c r="I41" s="1" t="s">
        <v>140</v>
      </c>
      <c r="J41" s="1">
        <v>2</v>
      </c>
      <c r="K41" s="1">
        <v>2</v>
      </c>
      <c r="L41" t="str">
        <f t="shared" si="0"/>
        <v>e.empln40@iraqioil.gov.ir</v>
      </c>
    </row>
    <row r="42" spans="1:12" x14ac:dyDescent="0.3">
      <c r="A42" s="1">
        <v>41</v>
      </c>
      <c r="B42" s="1" t="s">
        <v>80</v>
      </c>
      <c r="C42" s="1" t="s">
        <v>141</v>
      </c>
      <c r="D42" s="1" t="s">
        <v>142</v>
      </c>
      <c r="E42" s="1" t="s">
        <v>13</v>
      </c>
      <c r="F42" s="1" t="s">
        <v>31</v>
      </c>
      <c r="G42" s="1">
        <v>9647737383</v>
      </c>
      <c r="H42" s="1">
        <v>9647506994</v>
      </c>
      <c r="I42" s="1" t="s">
        <v>143</v>
      </c>
      <c r="J42" s="1">
        <v>1</v>
      </c>
      <c r="K42" s="1">
        <v>1</v>
      </c>
      <c r="L42" t="str">
        <f t="shared" si="0"/>
        <v>e.empln41@iraqioil.gov.ir</v>
      </c>
    </row>
    <row r="43" spans="1:12" x14ac:dyDescent="0.3">
      <c r="A43" s="1">
        <v>42</v>
      </c>
      <c r="B43" s="1" t="s">
        <v>36</v>
      </c>
      <c r="C43" s="1" t="s">
        <v>144</v>
      </c>
      <c r="D43" s="1" t="s">
        <v>145</v>
      </c>
      <c r="E43" s="1" t="s">
        <v>13</v>
      </c>
      <c r="F43" s="1" t="s">
        <v>14</v>
      </c>
      <c r="G43" s="1">
        <v>9647541597</v>
      </c>
      <c r="H43" s="1">
        <v>964788047</v>
      </c>
      <c r="I43" s="1" t="s">
        <v>146</v>
      </c>
      <c r="J43" s="1">
        <v>4</v>
      </c>
      <c r="K43" s="1">
        <v>3</v>
      </c>
      <c r="L43" t="str">
        <f t="shared" si="0"/>
        <v>e.empln42@iraqioil.gov.ir</v>
      </c>
    </row>
    <row r="44" spans="1:12" x14ac:dyDescent="0.3">
      <c r="A44" s="1">
        <v>43</v>
      </c>
      <c r="B44" s="1" t="s">
        <v>80</v>
      </c>
      <c r="C44" s="1" t="s">
        <v>147</v>
      </c>
      <c r="D44" s="1" t="s">
        <v>148</v>
      </c>
      <c r="E44" s="1" t="s">
        <v>13</v>
      </c>
      <c r="F44" s="1" t="s">
        <v>31</v>
      </c>
      <c r="G44" s="1">
        <v>9647423922</v>
      </c>
      <c r="H44" s="1">
        <v>9647150873</v>
      </c>
      <c r="I44" s="1" t="s">
        <v>149</v>
      </c>
      <c r="J44" s="1">
        <v>2</v>
      </c>
      <c r="K44" s="1">
        <v>3</v>
      </c>
      <c r="L44" t="str">
        <f t="shared" si="0"/>
        <v>e.empln43@iraqioil.gov.ir</v>
      </c>
    </row>
    <row r="45" spans="1:12" x14ac:dyDescent="0.3">
      <c r="A45" s="1">
        <v>44</v>
      </c>
      <c r="B45" s="1" t="s">
        <v>10</v>
      </c>
      <c r="C45" s="1" t="s">
        <v>150</v>
      </c>
      <c r="D45" s="1" t="s">
        <v>151</v>
      </c>
      <c r="E45" s="1" t="s">
        <v>13</v>
      </c>
      <c r="F45" s="1" t="s">
        <v>42</v>
      </c>
      <c r="G45" s="1">
        <v>9647385286</v>
      </c>
      <c r="H45" s="1">
        <v>9647257805</v>
      </c>
      <c r="I45" s="1" t="s">
        <v>152</v>
      </c>
      <c r="J45" s="1">
        <v>0</v>
      </c>
      <c r="K45" s="1">
        <v>3</v>
      </c>
      <c r="L45" t="str">
        <f t="shared" si="0"/>
        <v>e.empln44@iraqioil.gov.ir</v>
      </c>
    </row>
    <row r="46" spans="1:12" x14ac:dyDescent="0.3">
      <c r="A46" s="1">
        <v>45</v>
      </c>
      <c r="B46" s="1" t="s">
        <v>21</v>
      </c>
      <c r="C46" s="1" t="s">
        <v>153</v>
      </c>
      <c r="D46" s="1" t="s">
        <v>154</v>
      </c>
      <c r="E46" s="1" t="s">
        <v>13</v>
      </c>
      <c r="F46" s="1" t="s">
        <v>31</v>
      </c>
      <c r="G46" s="1">
        <v>9647991521</v>
      </c>
      <c r="H46" s="1">
        <v>964749955</v>
      </c>
      <c r="I46" s="1" t="s">
        <v>155</v>
      </c>
      <c r="J46" s="1">
        <v>1</v>
      </c>
      <c r="K46" s="1">
        <v>1</v>
      </c>
      <c r="L46" t="str">
        <f t="shared" si="0"/>
        <v>e.empln45@iraqioil.gov.ir</v>
      </c>
    </row>
    <row r="47" spans="1:12" x14ac:dyDescent="0.3">
      <c r="A47" s="1">
        <v>46</v>
      </c>
      <c r="B47" s="1" t="s">
        <v>10</v>
      </c>
      <c r="C47" s="1" t="s">
        <v>156</v>
      </c>
      <c r="D47" s="1" t="s">
        <v>157</v>
      </c>
      <c r="E47" s="1" t="s">
        <v>13</v>
      </c>
      <c r="F47" s="1" t="s">
        <v>42</v>
      </c>
      <c r="G47" s="1">
        <v>9647323644</v>
      </c>
      <c r="H47" s="1">
        <v>964774512</v>
      </c>
      <c r="I47" s="1" t="s">
        <v>158</v>
      </c>
      <c r="J47" s="1">
        <v>2</v>
      </c>
      <c r="K47" s="1">
        <v>3</v>
      </c>
      <c r="L47" t="str">
        <f t="shared" si="0"/>
        <v>e.empln46@iraqioil.gov.ir</v>
      </c>
    </row>
    <row r="48" spans="1:12" x14ac:dyDescent="0.3">
      <c r="A48" s="1">
        <v>47</v>
      </c>
      <c r="B48" s="1" t="s">
        <v>80</v>
      </c>
      <c r="C48" s="1" t="s">
        <v>159</v>
      </c>
      <c r="D48" s="1" t="s">
        <v>160</v>
      </c>
      <c r="E48" s="1" t="s">
        <v>13</v>
      </c>
      <c r="F48" s="1" t="s">
        <v>14</v>
      </c>
      <c r="G48" s="1">
        <v>964729678</v>
      </c>
      <c r="H48" s="1">
        <v>9647437963</v>
      </c>
      <c r="I48" s="1" t="s">
        <v>161</v>
      </c>
      <c r="J48" s="1">
        <v>0</v>
      </c>
      <c r="K48" s="1">
        <v>1</v>
      </c>
      <c r="L48" t="str">
        <f t="shared" si="0"/>
        <v>e.empln47@iraqioil.gov.ir</v>
      </c>
    </row>
    <row r="49" spans="1:12" x14ac:dyDescent="0.3">
      <c r="A49" s="1">
        <v>48</v>
      </c>
      <c r="B49" s="1" t="s">
        <v>80</v>
      </c>
      <c r="C49" s="1" t="s">
        <v>162</v>
      </c>
      <c r="D49" s="1" t="s">
        <v>163</v>
      </c>
      <c r="E49" s="1" t="s">
        <v>13</v>
      </c>
      <c r="F49" s="1" t="s">
        <v>31</v>
      </c>
      <c r="G49" s="1">
        <v>9647400718</v>
      </c>
      <c r="H49" s="1">
        <v>9647997162</v>
      </c>
      <c r="I49" s="1" t="s">
        <v>164</v>
      </c>
      <c r="J49" s="1">
        <v>3</v>
      </c>
      <c r="K49" s="1">
        <v>3</v>
      </c>
      <c r="L49" t="str">
        <f t="shared" si="0"/>
        <v>e.empln48@iraqioil.gov.ir</v>
      </c>
    </row>
    <row r="50" spans="1:12" x14ac:dyDescent="0.3">
      <c r="A50" s="1">
        <v>49</v>
      </c>
      <c r="B50" s="1" t="s">
        <v>10</v>
      </c>
      <c r="C50" s="1" t="s">
        <v>165</v>
      </c>
      <c r="D50" s="1" t="s">
        <v>166</v>
      </c>
      <c r="E50" s="1" t="s">
        <v>13</v>
      </c>
      <c r="F50" s="1" t="s">
        <v>31</v>
      </c>
      <c r="G50" s="1">
        <v>9647323936</v>
      </c>
      <c r="H50" s="1">
        <v>9647715936</v>
      </c>
      <c r="I50" s="1" t="s">
        <v>167</v>
      </c>
      <c r="J50" s="1">
        <v>3</v>
      </c>
      <c r="K50" s="1">
        <v>3</v>
      </c>
      <c r="L50" t="str">
        <f t="shared" si="0"/>
        <v>e.empln49@iraqioil.gov.ir</v>
      </c>
    </row>
    <row r="51" spans="1:12" x14ac:dyDescent="0.3">
      <c r="A51" s="1">
        <v>50</v>
      </c>
      <c r="B51" s="1" t="s">
        <v>80</v>
      </c>
      <c r="C51" s="1" t="s">
        <v>168</v>
      </c>
      <c r="D51" s="1" t="s">
        <v>169</v>
      </c>
      <c r="E51" s="1" t="s">
        <v>13</v>
      </c>
      <c r="F51" s="1" t="s">
        <v>24</v>
      </c>
      <c r="G51" s="1">
        <v>9647577870</v>
      </c>
      <c r="H51" s="1">
        <v>9647401173</v>
      </c>
      <c r="I51" s="1" t="s">
        <v>170</v>
      </c>
      <c r="J51" s="1">
        <v>1</v>
      </c>
      <c r="K51" s="1">
        <v>1</v>
      </c>
      <c r="L51" t="str">
        <f t="shared" si="0"/>
        <v>e.empln50@iraqioil.gov.ir</v>
      </c>
    </row>
    <row r="52" spans="1:12" x14ac:dyDescent="0.3">
      <c r="A52" s="1">
        <v>51</v>
      </c>
      <c r="B52" s="1" t="s">
        <v>16</v>
      </c>
      <c r="C52" s="1" t="s">
        <v>171</v>
      </c>
      <c r="D52" s="1" t="s">
        <v>172</v>
      </c>
      <c r="E52" s="1" t="s">
        <v>13</v>
      </c>
      <c r="F52" s="1" t="s">
        <v>14</v>
      </c>
      <c r="G52" s="1">
        <v>964718702</v>
      </c>
      <c r="H52" s="1">
        <v>9647932594</v>
      </c>
      <c r="I52" s="1" t="s">
        <v>173</v>
      </c>
      <c r="J52" s="1">
        <v>3</v>
      </c>
      <c r="K52" s="1">
        <v>1</v>
      </c>
      <c r="L52" t="str">
        <f t="shared" si="0"/>
        <v>e.empln51@iraqioil.gov.ir</v>
      </c>
    </row>
    <row r="53" spans="1:12" x14ac:dyDescent="0.3">
      <c r="A53" s="1">
        <v>52</v>
      </c>
      <c r="B53" s="1" t="s">
        <v>10</v>
      </c>
      <c r="C53" s="1" t="s">
        <v>174</v>
      </c>
      <c r="D53" s="1" t="s">
        <v>175</v>
      </c>
      <c r="E53" s="1" t="s">
        <v>13</v>
      </c>
      <c r="F53" s="1" t="s">
        <v>19</v>
      </c>
      <c r="G53" s="1">
        <v>9647417826</v>
      </c>
      <c r="H53" s="1">
        <v>9647786687</v>
      </c>
      <c r="I53" s="1" t="s">
        <v>176</v>
      </c>
      <c r="J53" s="1">
        <v>3</v>
      </c>
      <c r="K53" s="1">
        <v>1</v>
      </c>
      <c r="L53" t="str">
        <f t="shared" si="0"/>
        <v>e.empln52@iraqioil.gov.ir</v>
      </c>
    </row>
    <row r="54" spans="1:12" x14ac:dyDescent="0.3">
      <c r="A54" s="1">
        <v>53</v>
      </c>
      <c r="B54" s="1" t="s">
        <v>21</v>
      </c>
      <c r="C54" s="1" t="s">
        <v>177</v>
      </c>
      <c r="D54" s="1" t="s">
        <v>178</v>
      </c>
      <c r="E54" s="1" t="s">
        <v>13</v>
      </c>
      <c r="F54" s="1" t="s">
        <v>31</v>
      </c>
      <c r="G54" s="1">
        <v>9647895810</v>
      </c>
      <c r="H54" s="1">
        <v>9647455898</v>
      </c>
      <c r="I54" s="1" t="s">
        <v>179</v>
      </c>
      <c r="J54" s="1">
        <v>2</v>
      </c>
      <c r="K54" s="1">
        <v>2</v>
      </c>
      <c r="L54" t="str">
        <f t="shared" si="0"/>
        <v>e.empln53@iraqioil.gov.ir</v>
      </c>
    </row>
    <row r="55" spans="1:12" x14ac:dyDescent="0.3">
      <c r="A55" s="1">
        <v>54</v>
      </c>
      <c r="B55" s="1" t="s">
        <v>21</v>
      </c>
      <c r="C55" s="1" t="s">
        <v>180</v>
      </c>
      <c r="D55" s="1" t="s">
        <v>181</v>
      </c>
      <c r="E55" s="1" t="s">
        <v>13</v>
      </c>
      <c r="F55" s="1" t="s">
        <v>19</v>
      </c>
      <c r="G55" s="1">
        <v>9647220851</v>
      </c>
      <c r="H55" s="1">
        <v>9647635488</v>
      </c>
      <c r="I55" s="1" t="s">
        <v>182</v>
      </c>
      <c r="J55" s="1">
        <v>2</v>
      </c>
      <c r="K55" s="1">
        <v>3</v>
      </c>
      <c r="L55" t="str">
        <f t="shared" si="0"/>
        <v>e.empln54@iraqioil.gov.ir</v>
      </c>
    </row>
    <row r="56" spans="1:12" x14ac:dyDescent="0.3">
      <c r="A56" s="1">
        <v>55</v>
      </c>
      <c r="B56" s="1" t="s">
        <v>80</v>
      </c>
      <c r="C56" s="1" t="s">
        <v>183</v>
      </c>
      <c r="D56" s="1" t="s">
        <v>184</v>
      </c>
      <c r="E56" s="1" t="s">
        <v>13</v>
      </c>
      <c r="F56" s="1" t="s">
        <v>42</v>
      </c>
      <c r="G56" s="1">
        <v>9647475779</v>
      </c>
      <c r="H56" s="1">
        <v>9647461976</v>
      </c>
      <c r="I56" s="1" t="s">
        <v>185</v>
      </c>
      <c r="J56" s="1">
        <v>4</v>
      </c>
      <c r="K56" s="1">
        <v>1</v>
      </c>
      <c r="L56" t="str">
        <f t="shared" si="0"/>
        <v>e.empln55@iraqioil.gov.ir</v>
      </c>
    </row>
    <row r="57" spans="1:12" x14ac:dyDescent="0.3">
      <c r="A57" s="1">
        <v>56</v>
      </c>
      <c r="B57" s="1" t="s">
        <v>36</v>
      </c>
      <c r="C57" s="1" t="s">
        <v>186</v>
      </c>
      <c r="D57" s="1" t="s">
        <v>187</v>
      </c>
      <c r="E57" s="1" t="s">
        <v>13</v>
      </c>
      <c r="F57" s="1" t="s">
        <v>14</v>
      </c>
      <c r="G57" s="1">
        <v>9647297515</v>
      </c>
      <c r="H57" s="1">
        <v>9647433659</v>
      </c>
      <c r="I57" s="1" t="s">
        <v>188</v>
      </c>
      <c r="J57" s="1">
        <v>1</v>
      </c>
      <c r="K57" s="1">
        <v>1</v>
      </c>
      <c r="L57" t="str">
        <f t="shared" si="0"/>
        <v>e.empln56@iraqioil.gov.ir</v>
      </c>
    </row>
    <row r="58" spans="1:12" x14ac:dyDescent="0.3">
      <c r="A58" s="1">
        <v>57</v>
      </c>
      <c r="B58" s="1" t="s">
        <v>36</v>
      </c>
      <c r="C58" s="1" t="s">
        <v>189</v>
      </c>
      <c r="D58" s="1" t="s">
        <v>190</v>
      </c>
      <c r="E58" s="1" t="s">
        <v>13</v>
      </c>
      <c r="F58" s="1" t="s">
        <v>24</v>
      </c>
      <c r="G58" s="1">
        <v>9647189859</v>
      </c>
      <c r="H58" s="1">
        <v>9647224385</v>
      </c>
      <c r="I58" s="1" t="s">
        <v>191</v>
      </c>
      <c r="J58" s="1">
        <v>2</v>
      </c>
      <c r="K58" s="1">
        <v>1</v>
      </c>
      <c r="L58" t="str">
        <f t="shared" si="0"/>
        <v>e.empln57@iraqioil.gov.ir</v>
      </c>
    </row>
    <row r="59" spans="1:12" x14ac:dyDescent="0.3">
      <c r="A59" s="1">
        <v>58</v>
      </c>
      <c r="B59" s="1" t="s">
        <v>80</v>
      </c>
      <c r="C59" s="1" t="s">
        <v>192</v>
      </c>
      <c r="D59" s="1" t="s">
        <v>193</v>
      </c>
      <c r="E59" s="1" t="s">
        <v>13</v>
      </c>
      <c r="F59" s="1" t="s">
        <v>31</v>
      </c>
      <c r="G59" s="1">
        <v>9647961373</v>
      </c>
      <c r="H59" s="1">
        <v>9647815380</v>
      </c>
      <c r="I59" s="1" t="s">
        <v>194</v>
      </c>
      <c r="J59" s="1">
        <v>0</v>
      </c>
      <c r="K59" s="1">
        <v>2</v>
      </c>
      <c r="L59" t="str">
        <f t="shared" si="0"/>
        <v>e.empln58@iraqioil.gov.ir</v>
      </c>
    </row>
    <row r="60" spans="1:12" x14ac:dyDescent="0.3">
      <c r="A60" s="1">
        <v>59</v>
      </c>
      <c r="B60" s="1" t="s">
        <v>21</v>
      </c>
      <c r="C60" s="1" t="s">
        <v>195</v>
      </c>
      <c r="D60" s="1" t="s">
        <v>196</v>
      </c>
      <c r="E60" s="1" t="s">
        <v>13</v>
      </c>
      <c r="F60" s="1" t="s">
        <v>24</v>
      </c>
      <c r="G60" s="1">
        <v>9647465735</v>
      </c>
      <c r="H60" s="1">
        <v>9647830214</v>
      </c>
      <c r="I60" s="1" t="s">
        <v>197</v>
      </c>
      <c r="J60" s="1">
        <v>3</v>
      </c>
      <c r="K60" s="1">
        <v>1</v>
      </c>
      <c r="L60" t="str">
        <f t="shared" si="0"/>
        <v>e.empln59@iraqioil.gov.ir</v>
      </c>
    </row>
    <row r="61" spans="1:12" x14ac:dyDescent="0.3">
      <c r="A61" s="1">
        <v>60</v>
      </c>
      <c r="B61" s="1" t="s">
        <v>21</v>
      </c>
      <c r="C61" s="1" t="s">
        <v>198</v>
      </c>
      <c r="D61" s="1" t="s">
        <v>199</v>
      </c>
      <c r="E61" s="1" t="s">
        <v>13</v>
      </c>
      <c r="F61" s="1" t="s">
        <v>42</v>
      </c>
      <c r="G61" s="1">
        <v>9647719735</v>
      </c>
      <c r="H61" s="1">
        <v>9647129566</v>
      </c>
      <c r="I61" s="1" t="s">
        <v>200</v>
      </c>
      <c r="J61" s="1">
        <v>2</v>
      </c>
      <c r="K61" s="1">
        <v>1</v>
      </c>
      <c r="L61" t="str">
        <f t="shared" si="0"/>
        <v>e.empln60@iraqioil.gov.ir</v>
      </c>
    </row>
    <row r="62" spans="1:12" x14ac:dyDescent="0.3">
      <c r="A62" s="1">
        <v>61</v>
      </c>
      <c r="B62" s="1" t="s">
        <v>16</v>
      </c>
      <c r="C62" s="1" t="s">
        <v>201</v>
      </c>
      <c r="D62" s="1" t="s">
        <v>202</v>
      </c>
      <c r="E62" s="1" t="s">
        <v>13</v>
      </c>
      <c r="F62" s="1" t="s">
        <v>42</v>
      </c>
      <c r="G62" s="1">
        <v>9647920850</v>
      </c>
      <c r="H62" s="1">
        <v>9647518</v>
      </c>
      <c r="I62" s="1" t="s">
        <v>203</v>
      </c>
      <c r="J62" s="1">
        <v>1</v>
      </c>
      <c r="K62" s="1">
        <v>1</v>
      </c>
      <c r="L62" t="str">
        <f t="shared" si="0"/>
        <v>e.empln61@iraqioil.gov.ir</v>
      </c>
    </row>
    <row r="63" spans="1:12" x14ac:dyDescent="0.3">
      <c r="A63" s="1">
        <v>62</v>
      </c>
      <c r="B63" s="1" t="s">
        <v>10</v>
      </c>
      <c r="C63" s="1" t="s">
        <v>204</v>
      </c>
      <c r="D63" s="1" t="s">
        <v>205</v>
      </c>
      <c r="E63" s="1" t="s">
        <v>13</v>
      </c>
      <c r="F63" s="1" t="s">
        <v>31</v>
      </c>
      <c r="G63" s="1">
        <v>964728879</v>
      </c>
      <c r="H63" s="1">
        <v>9647835457</v>
      </c>
      <c r="I63" s="1" t="s">
        <v>206</v>
      </c>
      <c r="J63" s="1">
        <v>0</v>
      </c>
      <c r="K63" s="1">
        <v>3</v>
      </c>
      <c r="L63" t="str">
        <f t="shared" si="0"/>
        <v>e.empln62@iraqioil.gov.ir</v>
      </c>
    </row>
    <row r="64" spans="1:12" x14ac:dyDescent="0.3">
      <c r="A64" s="1">
        <v>63</v>
      </c>
      <c r="B64" s="1" t="s">
        <v>36</v>
      </c>
      <c r="C64" s="1" t="s">
        <v>207</v>
      </c>
      <c r="D64" s="1" t="s">
        <v>208</v>
      </c>
      <c r="E64" s="1" t="s">
        <v>13</v>
      </c>
      <c r="F64" s="1" t="s">
        <v>24</v>
      </c>
      <c r="G64" s="1">
        <v>9647969603</v>
      </c>
      <c r="H64" s="1">
        <v>9647433949</v>
      </c>
      <c r="I64" s="1" t="s">
        <v>209</v>
      </c>
      <c r="J64" s="1">
        <v>1</v>
      </c>
      <c r="K64" s="1">
        <v>1</v>
      </c>
      <c r="L64" t="str">
        <f t="shared" si="0"/>
        <v>e.empln63@iraqioil.gov.ir</v>
      </c>
    </row>
    <row r="65" spans="1:12" x14ac:dyDescent="0.3">
      <c r="A65" s="1">
        <v>64</v>
      </c>
      <c r="B65" s="1" t="s">
        <v>10</v>
      </c>
      <c r="C65" s="1" t="s">
        <v>210</v>
      </c>
      <c r="D65" s="1" t="s">
        <v>211</v>
      </c>
      <c r="E65" s="1" t="s">
        <v>13</v>
      </c>
      <c r="F65" s="1" t="s">
        <v>19</v>
      </c>
      <c r="G65" s="1">
        <v>964748756</v>
      </c>
      <c r="H65" s="1">
        <v>9647797951</v>
      </c>
      <c r="I65" s="1" t="s">
        <v>212</v>
      </c>
      <c r="J65" s="1">
        <v>4</v>
      </c>
      <c r="K65" s="1">
        <v>3</v>
      </c>
      <c r="L65" t="str">
        <f t="shared" si="0"/>
        <v>e.empln64@iraqioil.gov.ir</v>
      </c>
    </row>
    <row r="66" spans="1:12" x14ac:dyDescent="0.3">
      <c r="A66" s="1">
        <v>65</v>
      </c>
      <c r="B66" s="1" t="s">
        <v>36</v>
      </c>
      <c r="C66" s="1" t="s">
        <v>213</v>
      </c>
      <c r="D66" s="1" t="s">
        <v>214</v>
      </c>
      <c r="E66" s="1" t="s">
        <v>13</v>
      </c>
      <c r="F66" s="1" t="s">
        <v>24</v>
      </c>
      <c r="G66" s="1">
        <v>9647570618</v>
      </c>
      <c r="H66" s="1">
        <v>9647453266</v>
      </c>
      <c r="I66" s="1" t="s">
        <v>215</v>
      </c>
      <c r="J66" s="1">
        <v>2</v>
      </c>
      <c r="K66" s="1">
        <v>2</v>
      </c>
      <c r="L66" t="str">
        <f t="shared" si="0"/>
        <v>e.empln65@iraqioil.gov.ir</v>
      </c>
    </row>
    <row r="67" spans="1:12" x14ac:dyDescent="0.3">
      <c r="A67" s="1">
        <v>66</v>
      </c>
      <c r="B67" s="1" t="s">
        <v>10</v>
      </c>
      <c r="C67" s="1" t="s">
        <v>216</v>
      </c>
      <c r="D67" s="1" t="s">
        <v>217</v>
      </c>
      <c r="E67" s="1" t="s">
        <v>13</v>
      </c>
      <c r="F67" s="1" t="s">
        <v>31</v>
      </c>
      <c r="G67" s="1">
        <v>9647600749</v>
      </c>
      <c r="H67" s="1">
        <v>9647724145</v>
      </c>
      <c r="I67" s="1" t="s">
        <v>218</v>
      </c>
      <c r="J67" s="1">
        <v>4</v>
      </c>
      <c r="K67" s="1">
        <v>3</v>
      </c>
      <c r="L67" t="str">
        <f t="shared" ref="L67:L121" si="1">LOWER(LEFT(C67,1)&amp;"."&amp;D67&amp;"@iraqioil.gov.ir")</f>
        <v>e.empln66@iraqioil.gov.ir</v>
      </c>
    </row>
    <row r="68" spans="1:12" x14ac:dyDescent="0.3">
      <c r="A68" s="1">
        <v>67</v>
      </c>
      <c r="B68" s="1" t="s">
        <v>21</v>
      </c>
      <c r="C68" s="1" t="s">
        <v>219</v>
      </c>
      <c r="D68" s="1" t="s">
        <v>220</v>
      </c>
      <c r="E68" s="1" t="s">
        <v>13</v>
      </c>
      <c r="F68" s="1" t="s">
        <v>42</v>
      </c>
      <c r="G68" s="1">
        <v>9647376768</v>
      </c>
      <c r="H68" s="1">
        <v>9647997910</v>
      </c>
      <c r="I68" s="1" t="s">
        <v>221</v>
      </c>
      <c r="J68" s="1">
        <v>4</v>
      </c>
      <c r="K68" s="1">
        <v>1</v>
      </c>
      <c r="L68" t="str">
        <f t="shared" si="1"/>
        <v>e.empln67@iraqioil.gov.ir</v>
      </c>
    </row>
    <row r="69" spans="1:12" x14ac:dyDescent="0.3">
      <c r="A69" s="1">
        <v>68</v>
      </c>
      <c r="B69" s="1" t="s">
        <v>16</v>
      </c>
      <c r="C69" s="1" t="s">
        <v>222</v>
      </c>
      <c r="D69" s="1" t="s">
        <v>223</v>
      </c>
      <c r="E69" s="1" t="s">
        <v>13</v>
      </c>
      <c r="F69" s="1" t="s">
        <v>31</v>
      </c>
      <c r="G69" s="1">
        <v>964726959</v>
      </c>
      <c r="H69" s="1">
        <v>9647836080</v>
      </c>
      <c r="I69" s="1" t="s">
        <v>224</v>
      </c>
      <c r="J69" s="1">
        <v>0</v>
      </c>
      <c r="K69" s="1">
        <v>3</v>
      </c>
      <c r="L69" t="str">
        <f t="shared" si="1"/>
        <v>e.empln68@iraqioil.gov.ir</v>
      </c>
    </row>
    <row r="70" spans="1:12" x14ac:dyDescent="0.3">
      <c r="A70" s="1">
        <v>69</v>
      </c>
      <c r="B70" s="1" t="s">
        <v>80</v>
      </c>
      <c r="C70" s="1" t="s">
        <v>225</v>
      </c>
      <c r="D70" s="1" t="s">
        <v>226</v>
      </c>
      <c r="E70" s="1" t="s">
        <v>13</v>
      </c>
      <c r="F70" s="1" t="s">
        <v>14</v>
      </c>
      <c r="G70" s="1">
        <v>9647422829</v>
      </c>
      <c r="H70" s="1">
        <v>9647293430</v>
      </c>
      <c r="I70" s="1" t="s">
        <v>227</v>
      </c>
      <c r="J70" s="1">
        <v>0</v>
      </c>
      <c r="K70" s="1">
        <v>1</v>
      </c>
      <c r="L70" t="str">
        <f t="shared" si="1"/>
        <v>e.empln69@iraqioil.gov.ir</v>
      </c>
    </row>
    <row r="71" spans="1:12" x14ac:dyDescent="0.3">
      <c r="A71" s="1">
        <v>70</v>
      </c>
      <c r="B71" s="1" t="s">
        <v>16</v>
      </c>
      <c r="C71" s="1" t="s">
        <v>228</v>
      </c>
      <c r="D71" s="1" t="s">
        <v>229</v>
      </c>
      <c r="E71" s="1" t="s">
        <v>13</v>
      </c>
      <c r="F71" s="1" t="s">
        <v>24</v>
      </c>
      <c r="G71" s="1">
        <v>9647625038</v>
      </c>
      <c r="H71" s="1">
        <v>9647605778</v>
      </c>
      <c r="I71" s="1" t="s">
        <v>230</v>
      </c>
      <c r="J71" s="1">
        <v>0</v>
      </c>
      <c r="K71" s="1">
        <v>3</v>
      </c>
      <c r="L71" t="str">
        <f t="shared" si="1"/>
        <v>e.empln70@iraqioil.gov.ir</v>
      </c>
    </row>
    <row r="72" spans="1:12" x14ac:dyDescent="0.3">
      <c r="A72" s="1">
        <v>71</v>
      </c>
      <c r="B72" s="1" t="s">
        <v>10</v>
      </c>
      <c r="C72" s="1" t="s">
        <v>231</v>
      </c>
      <c r="D72" s="1" t="s">
        <v>232</v>
      </c>
      <c r="E72" s="1" t="s">
        <v>13</v>
      </c>
      <c r="F72" s="1" t="s">
        <v>31</v>
      </c>
      <c r="G72" s="1">
        <v>9647248713</v>
      </c>
      <c r="H72" s="1">
        <v>9647360714</v>
      </c>
      <c r="I72" s="1" t="s">
        <v>233</v>
      </c>
      <c r="J72" s="1">
        <v>0</v>
      </c>
      <c r="K72" s="1">
        <v>1</v>
      </c>
      <c r="L72" t="str">
        <f t="shared" si="1"/>
        <v>e.empln71@iraqioil.gov.ir</v>
      </c>
    </row>
    <row r="73" spans="1:12" x14ac:dyDescent="0.3">
      <c r="A73" s="1">
        <v>72</v>
      </c>
      <c r="B73" s="1" t="s">
        <v>16</v>
      </c>
      <c r="C73" s="1" t="s">
        <v>234</v>
      </c>
      <c r="D73" s="1" t="s">
        <v>235</v>
      </c>
      <c r="E73" s="1" t="s">
        <v>13</v>
      </c>
      <c r="F73" s="1" t="s">
        <v>31</v>
      </c>
      <c r="G73" s="1">
        <v>9647685637</v>
      </c>
      <c r="H73" s="1">
        <v>9647481830</v>
      </c>
      <c r="I73" s="1" t="s">
        <v>236</v>
      </c>
      <c r="J73" s="1">
        <v>1</v>
      </c>
      <c r="K73" s="1">
        <v>1</v>
      </c>
      <c r="L73" t="str">
        <f t="shared" si="1"/>
        <v>e.empln72@iraqioil.gov.ir</v>
      </c>
    </row>
    <row r="74" spans="1:12" x14ac:dyDescent="0.3">
      <c r="A74" s="1">
        <v>73</v>
      </c>
      <c r="B74" s="1" t="s">
        <v>36</v>
      </c>
      <c r="C74" s="1" t="s">
        <v>237</v>
      </c>
      <c r="D74" s="1" t="s">
        <v>238</v>
      </c>
      <c r="E74" s="1" t="s">
        <v>13</v>
      </c>
      <c r="F74" s="1" t="s">
        <v>31</v>
      </c>
      <c r="G74" s="1">
        <v>9647743625</v>
      </c>
      <c r="H74" s="1">
        <v>9647732754</v>
      </c>
      <c r="I74" s="1" t="s">
        <v>239</v>
      </c>
      <c r="J74" s="1">
        <v>2</v>
      </c>
      <c r="K74" s="1">
        <v>3</v>
      </c>
      <c r="L74" t="str">
        <f t="shared" si="1"/>
        <v>e.empln73@iraqioil.gov.ir</v>
      </c>
    </row>
    <row r="75" spans="1:12" x14ac:dyDescent="0.3">
      <c r="A75" s="1">
        <v>74</v>
      </c>
      <c r="B75" s="1" t="s">
        <v>36</v>
      </c>
      <c r="C75" s="1" t="s">
        <v>240</v>
      </c>
      <c r="D75" s="1" t="s">
        <v>241</v>
      </c>
      <c r="E75" s="1" t="s">
        <v>13</v>
      </c>
      <c r="F75" s="1" t="s">
        <v>31</v>
      </c>
      <c r="G75" s="1">
        <v>9647219609</v>
      </c>
      <c r="H75" s="1">
        <v>9647807955</v>
      </c>
      <c r="I75" s="1" t="s">
        <v>242</v>
      </c>
      <c r="J75" s="1">
        <v>1</v>
      </c>
      <c r="K75" s="1">
        <v>2</v>
      </c>
      <c r="L75" t="str">
        <f t="shared" si="1"/>
        <v>e.empln74@iraqioil.gov.ir</v>
      </c>
    </row>
    <row r="76" spans="1:12" x14ac:dyDescent="0.3">
      <c r="A76" s="1">
        <v>75</v>
      </c>
      <c r="B76" s="1" t="s">
        <v>10</v>
      </c>
      <c r="C76" s="1" t="s">
        <v>243</v>
      </c>
      <c r="D76" s="1" t="s">
        <v>244</v>
      </c>
      <c r="E76" s="1" t="s">
        <v>13</v>
      </c>
      <c r="F76" s="1" t="s">
        <v>42</v>
      </c>
      <c r="G76" s="1">
        <v>9647540910</v>
      </c>
      <c r="H76" s="1">
        <v>9647109216</v>
      </c>
      <c r="I76" s="1" t="s">
        <v>245</v>
      </c>
      <c r="J76" s="1">
        <v>4</v>
      </c>
      <c r="K76" s="1">
        <v>1</v>
      </c>
      <c r="L76" t="str">
        <f t="shared" si="1"/>
        <v>e.empln75@iraqioil.gov.ir</v>
      </c>
    </row>
    <row r="77" spans="1:12" x14ac:dyDescent="0.3">
      <c r="A77" s="1">
        <v>76</v>
      </c>
      <c r="B77" s="1" t="s">
        <v>80</v>
      </c>
      <c r="C77" s="1" t="s">
        <v>246</v>
      </c>
      <c r="D77" s="1" t="s">
        <v>247</v>
      </c>
      <c r="E77" s="1" t="s">
        <v>13</v>
      </c>
      <c r="F77" s="1" t="s">
        <v>24</v>
      </c>
      <c r="G77" s="1">
        <v>9647523925</v>
      </c>
      <c r="H77" s="1">
        <v>964789411</v>
      </c>
      <c r="I77" s="1" t="s">
        <v>248</v>
      </c>
      <c r="J77" s="1">
        <v>4</v>
      </c>
      <c r="K77" s="1">
        <v>1</v>
      </c>
      <c r="L77" t="str">
        <f t="shared" si="1"/>
        <v>e.empln76@iraqioil.gov.ir</v>
      </c>
    </row>
    <row r="78" spans="1:12" x14ac:dyDescent="0.3">
      <c r="A78" s="1">
        <v>77</v>
      </c>
      <c r="B78" s="1" t="s">
        <v>16</v>
      </c>
      <c r="C78" s="1" t="s">
        <v>249</v>
      </c>
      <c r="D78" s="1" t="s">
        <v>250</v>
      </c>
      <c r="E78" s="1" t="s">
        <v>13</v>
      </c>
      <c r="F78" s="1" t="s">
        <v>14</v>
      </c>
      <c r="G78" s="1">
        <v>9647507786</v>
      </c>
      <c r="H78" s="1">
        <v>9647787231</v>
      </c>
      <c r="I78" s="1" t="s">
        <v>251</v>
      </c>
      <c r="J78" s="1">
        <v>2</v>
      </c>
      <c r="K78" s="1">
        <v>3</v>
      </c>
      <c r="L78" t="str">
        <f t="shared" si="1"/>
        <v>e.empln77@iraqioil.gov.ir</v>
      </c>
    </row>
    <row r="79" spans="1:12" x14ac:dyDescent="0.3">
      <c r="A79" s="1">
        <v>78</v>
      </c>
      <c r="B79" s="1" t="s">
        <v>10</v>
      </c>
      <c r="C79" s="1" t="s">
        <v>252</v>
      </c>
      <c r="D79" s="1" t="s">
        <v>253</v>
      </c>
      <c r="E79" s="1" t="s">
        <v>13</v>
      </c>
      <c r="F79" s="1" t="s">
        <v>14</v>
      </c>
      <c r="G79" s="1">
        <v>9647472493</v>
      </c>
      <c r="H79" s="1">
        <v>9647587508</v>
      </c>
      <c r="I79" s="1" t="s">
        <v>254</v>
      </c>
      <c r="J79" s="1">
        <v>2</v>
      </c>
      <c r="K79" s="1">
        <v>3</v>
      </c>
      <c r="L79" t="str">
        <f t="shared" si="1"/>
        <v>e.empln78@iraqioil.gov.ir</v>
      </c>
    </row>
    <row r="80" spans="1:12" x14ac:dyDescent="0.3">
      <c r="A80" s="1">
        <v>79</v>
      </c>
      <c r="B80" s="1" t="s">
        <v>80</v>
      </c>
      <c r="C80" s="1" t="s">
        <v>255</v>
      </c>
      <c r="D80" s="1" t="s">
        <v>256</v>
      </c>
      <c r="E80" s="1" t="s">
        <v>13</v>
      </c>
      <c r="F80" s="1" t="s">
        <v>31</v>
      </c>
      <c r="G80" s="1">
        <v>9647266508</v>
      </c>
      <c r="H80" s="1">
        <v>9647440806</v>
      </c>
      <c r="I80" s="1" t="s">
        <v>257</v>
      </c>
      <c r="J80" s="1">
        <v>2</v>
      </c>
      <c r="K80" s="1">
        <v>3</v>
      </c>
      <c r="L80" t="str">
        <f t="shared" si="1"/>
        <v>e.empln79@iraqioil.gov.ir</v>
      </c>
    </row>
    <row r="81" spans="1:12" x14ac:dyDescent="0.3">
      <c r="A81" s="1">
        <v>80</v>
      </c>
      <c r="B81" s="1" t="s">
        <v>10</v>
      </c>
      <c r="C81" s="1" t="s">
        <v>258</v>
      </c>
      <c r="D81" s="1" t="s">
        <v>259</v>
      </c>
      <c r="E81" s="1" t="s">
        <v>13</v>
      </c>
      <c r="F81" s="1" t="s">
        <v>14</v>
      </c>
      <c r="G81" s="1">
        <v>9647813536</v>
      </c>
      <c r="H81" s="1">
        <v>964762858</v>
      </c>
      <c r="I81" s="1" t="s">
        <v>260</v>
      </c>
      <c r="J81" s="1">
        <v>4</v>
      </c>
      <c r="K81" s="1">
        <v>1</v>
      </c>
      <c r="L81" t="str">
        <f t="shared" si="1"/>
        <v>e.empln80@iraqioil.gov.ir</v>
      </c>
    </row>
    <row r="82" spans="1:12" x14ac:dyDescent="0.3">
      <c r="A82" s="1">
        <v>81</v>
      </c>
      <c r="B82" s="1" t="s">
        <v>10</v>
      </c>
      <c r="C82" s="1" t="s">
        <v>261</v>
      </c>
      <c r="D82" s="1" t="s">
        <v>262</v>
      </c>
      <c r="E82" s="1" t="s">
        <v>13</v>
      </c>
      <c r="F82" s="1" t="s">
        <v>42</v>
      </c>
      <c r="G82" s="1">
        <v>9647420739</v>
      </c>
      <c r="H82" s="1">
        <v>9647550679</v>
      </c>
      <c r="I82" s="1" t="s">
        <v>263</v>
      </c>
      <c r="J82" s="1">
        <v>2</v>
      </c>
      <c r="K82" s="1">
        <v>3</v>
      </c>
      <c r="L82" t="str">
        <f t="shared" si="1"/>
        <v>e.empln81@iraqioil.gov.ir</v>
      </c>
    </row>
    <row r="83" spans="1:12" x14ac:dyDescent="0.3">
      <c r="A83" s="1">
        <v>82</v>
      </c>
      <c r="B83" s="1" t="s">
        <v>36</v>
      </c>
      <c r="C83" s="1" t="s">
        <v>264</v>
      </c>
      <c r="D83" s="1" t="s">
        <v>265</v>
      </c>
      <c r="E83" s="1" t="s">
        <v>13</v>
      </c>
      <c r="F83" s="1" t="s">
        <v>14</v>
      </c>
      <c r="G83" s="1">
        <v>9647947675</v>
      </c>
      <c r="H83" s="1">
        <v>9647787515</v>
      </c>
      <c r="I83" s="1" t="s">
        <v>266</v>
      </c>
      <c r="J83" s="1">
        <v>0</v>
      </c>
      <c r="K83" s="1">
        <v>1</v>
      </c>
      <c r="L83" t="str">
        <f t="shared" si="1"/>
        <v>e.empln82@iraqioil.gov.ir</v>
      </c>
    </row>
    <row r="84" spans="1:12" x14ac:dyDescent="0.3">
      <c r="A84" s="1">
        <v>83</v>
      </c>
      <c r="B84" s="1" t="s">
        <v>10</v>
      </c>
      <c r="C84" s="1" t="s">
        <v>267</v>
      </c>
      <c r="D84" s="1" t="s">
        <v>268</v>
      </c>
      <c r="E84" s="1" t="s">
        <v>13</v>
      </c>
      <c r="F84" s="1" t="s">
        <v>19</v>
      </c>
      <c r="G84" s="1">
        <v>9647229204</v>
      </c>
      <c r="H84" s="1">
        <v>9647127223</v>
      </c>
      <c r="I84" s="1" t="s">
        <v>269</v>
      </c>
      <c r="J84" s="1">
        <v>4</v>
      </c>
      <c r="K84" s="1">
        <v>2</v>
      </c>
      <c r="L84" t="str">
        <f t="shared" si="1"/>
        <v>e.empln83@iraqioil.gov.ir</v>
      </c>
    </row>
    <row r="85" spans="1:12" x14ac:dyDescent="0.3">
      <c r="A85" s="1">
        <v>84</v>
      </c>
      <c r="B85" s="1" t="s">
        <v>16</v>
      </c>
      <c r="C85" s="1" t="s">
        <v>270</v>
      </c>
      <c r="D85" s="1" t="s">
        <v>271</v>
      </c>
      <c r="E85" s="1" t="s">
        <v>13</v>
      </c>
      <c r="F85" s="1" t="s">
        <v>31</v>
      </c>
      <c r="G85" s="1">
        <v>9647678825</v>
      </c>
      <c r="H85" s="1">
        <v>9647261167</v>
      </c>
      <c r="I85" s="1" t="s">
        <v>272</v>
      </c>
      <c r="J85" s="1">
        <v>1</v>
      </c>
      <c r="K85" s="1">
        <v>2</v>
      </c>
      <c r="L85" t="str">
        <f t="shared" si="1"/>
        <v>e.empln84@iraqioil.gov.ir</v>
      </c>
    </row>
    <row r="86" spans="1:12" x14ac:dyDescent="0.3">
      <c r="A86" s="1">
        <v>85</v>
      </c>
      <c r="B86" s="1" t="s">
        <v>21</v>
      </c>
      <c r="C86" s="1" t="s">
        <v>273</v>
      </c>
      <c r="D86" s="1" t="s">
        <v>274</v>
      </c>
      <c r="E86" s="1" t="s">
        <v>13</v>
      </c>
      <c r="F86" s="1" t="s">
        <v>14</v>
      </c>
      <c r="G86" s="1">
        <v>9647736592</v>
      </c>
      <c r="H86" s="1">
        <v>9647625768</v>
      </c>
      <c r="I86" s="1" t="s">
        <v>275</v>
      </c>
      <c r="J86" s="1">
        <v>4</v>
      </c>
      <c r="K86" s="1">
        <v>3</v>
      </c>
      <c r="L86" t="str">
        <f t="shared" si="1"/>
        <v>e.empln85@iraqioil.gov.ir</v>
      </c>
    </row>
    <row r="87" spans="1:12" x14ac:dyDescent="0.3">
      <c r="A87" s="1">
        <v>86</v>
      </c>
      <c r="B87" s="1" t="s">
        <v>16</v>
      </c>
      <c r="C87" s="1" t="s">
        <v>276</v>
      </c>
      <c r="D87" s="1" t="s">
        <v>277</v>
      </c>
      <c r="E87" s="1" t="s">
        <v>13</v>
      </c>
      <c r="F87" s="1" t="s">
        <v>19</v>
      </c>
      <c r="G87" s="1">
        <v>9647553708</v>
      </c>
      <c r="H87" s="1">
        <v>9647737080</v>
      </c>
      <c r="I87" s="1" t="s">
        <v>278</v>
      </c>
      <c r="J87" s="1">
        <v>0</v>
      </c>
      <c r="K87" s="1">
        <v>3</v>
      </c>
      <c r="L87" t="str">
        <f t="shared" si="1"/>
        <v>e.empln86@iraqioil.gov.ir</v>
      </c>
    </row>
    <row r="88" spans="1:12" x14ac:dyDescent="0.3">
      <c r="A88" s="1">
        <v>87</v>
      </c>
      <c r="B88" s="1" t="s">
        <v>36</v>
      </c>
      <c r="C88" s="1" t="s">
        <v>279</v>
      </c>
      <c r="D88" s="1" t="s">
        <v>280</v>
      </c>
      <c r="E88" s="1" t="s">
        <v>13</v>
      </c>
      <c r="F88" s="1" t="s">
        <v>31</v>
      </c>
      <c r="G88" s="1">
        <v>9647860418</v>
      </c>
      <c r="H88" s="1">
        <v>9647325738</v>
      </c>
      <c r="I88" s="1" t="s">
        <v>281</v>
      </c>
      <c r="J88" s="1">
        <v>0</v>
      </c>
      <c r="K88" s="1">
        <v>1</v>
      </c>
      <c r="L88" t="str">
        <f t="shared" si="1"/>
        <v>e.empln87@iraqioil.gov.ir</v>
      </c>
    </row>
    <row r="89" spans="1:12" x14ac:dyDescent="0.3">
      <c r="A89" s="1">
        <v>88</v>
      </c>
      <c r="B89" s="1" t="s">
        <v>21</v>
      </c>
      <c r="C89" s="1" t="s">
        <v>282</v>
      </c>
      <c r="D89" s="1" t="s">
        <v>283</v>
      </c>
      <c r="E89" s="1" t="s">
        <v>13</v>
      </c>
      <c r="F89" s="1" t="s">
        <v>19</v>
      </c>
      <c r="G89" s="1">
        <v>9647565306</v>
      </c>
      <c r="H89" s="1">
        <v>9647803873</v>
      </c>
      <c r="I89" s="1" t="s">
        <v>284</v>
      </c>
      <c r="J89" s="1">
        <v>1</v>
      </c>
      <c r="K89" s="1">
        <v>1</v>
      </c>
      <c r="L89" t="str">
        <f t="shared" si="1"/>
        <v>e.empln88@iraqioil.gov.ir</v>
      </c>
    </row>
    <row r="90" spans="1:12" x14ac:dyDescent="0.3">
      <c r="A90" s="1">
        <v>89</v>
      </c>
      <c r="B90" s="1" t="s">
        <v>21</v>
      </c>
      <c r="C90" s="1" t="s">
        <v>285</v>
      </c>
      <c r="D90" s="1" t="s">
        <v>286</v>
      </c>
      <c r="E90" s="1" t="s">
        <v>13</v>
      </c>
      <c r="F90" s="1" t="s">
        <v>31</v>
      </c>
      <c r="G90" s="1">
        <v>9647187435</v>
      </c>
      <c r="H90" s="1">
        <v>9647920649</v>
      </c>
      <c r="I90" s="1" t="s">
        <v>287</v>
      </c>
      <c r="J90" s="1">
        <v>0</v>
      </c>
      <c r="K90" s="1">
        <v>2</v>
      </c>
      <c r="L90" t="str">
        <f t="shared" si="1"/>
        <v>e.empln89@iraqioil.gov.ir</v>
      </c>
    </row>
    <row r="91" spans="1:12" x14ac:dyDescent="0.3">
      <c r="A91" s="1">
        <v>90</v>
      </c>
      <c r="B91" s="1" t="s">
        <v>21</v>
      </c>
      <c r="C91" s="1" t="s">
        <v>288</v>
      </c>
      <c r="D91" s="1" t="s">
        <v>289</v>
      </c>
      <c r="E91" s="1" t="s">
        <v>13</v>
      </c>
      <c r="F91" s="1" t="s">
        <v>19</v>
      </c>
      <c r="G91" s="1">
        <v>9647358706</v>
      </c>
      <c r="H91" s="1">
        <v>9647414682</v>
      </c>
      <c r="I91" s="1" t="s">
        <v>290</v>
      </c>
      <c r="J91" s="1">
        <v>4</v>
      </c>
      <c r="K91" s="1">
        <v>3</v>
      </c>
      <c r="L91" t="str">
        <f t="shared" si="1"/>
        <v>e.empln90@iraqioil.gov.ir</v>
      </c>
    </row>
    <row r="92" spans="1:12" x14ac:dyDescent="0.3">
      <c r="A92" s="1">
        <v>91</v>
      </c>
      <c r="B92" s="1" t="s">
        <v>80</v>
      </c>
      <c r="C92" s="1" t="s">
        <v>291</v>
      </c>
      <c r="D92" s="1" t="s">
        <v>292</v>
      </c>
      <c r="E92" s="1" t="s">
        <v>13</v>
      </c>
      <c r="F92" s="1" t="s">
        <v>14</v>
      </c>
      <c r="G92" s="1">
        <v>9647709481</v>
      </c>
      <c r="H92" s="1">
        <v>9647425229</v>
      </c>
      <c r="I92" s="1" t="s">
        <v>293</v>
      </c>
      <c r="J92" s="1">
        <v>4</v>
      </c>
      <c r="K92" s="1">
        <v>3</v>
      </c>
      <c r="L92" t="str">
        <f t="shared" si="1"/>
        <v>e.empln91@iraqioil.gov.ir</v>
      </c>
    </row>
    <row r="93" spans="1:12" x14ac:dyDescent="0.3">
      <c r="A93" s="1">
        <v>92</v>
      </c>
      <c r="B93" s="1" t="s">
        <v>36</v>
      </c>
      <c r="C93" s="1" t="s">
        <v>294</v>
      </c>
      <c r="D93" s="1" t="s">
        <v>295</v>
      </c>
      <c r="E93" s="1" t="s">
        <v>13</v>
      </c>
      <c r="F93" s="1" t="s">
        <v>31</v>
      </c>
      <c r="G93" s="1">
        <v>9647869954</v>
      </c>
      <c r="H93" s="1">
        <v>9647199972</v>
      </c>
      <c r="I93" s="1" t="s">
        <v>296</v>
      </c>
      <c r="J93" s="1">
        <v>1</v>
      </c>
      <c r="K93" s="1">
        <v>2</v>
      </c>
      <c r="L93" t="str">
        <f t="shared" si="1"/>
        <v>e.empln92@iraqioil.gov.ir</v>
      </c>
    </row>
    <row r="94" spans="1:12" x14ac:dyDescent="0.3">
      <c r="A94" s="1">
        <v>93</v>
      </c>
      <c r="B94" s="1" t="s">
        <v>36</v>
      </c>
      <c r="C94" s="1" t="s">
        <v>297</v>
      </c>
      <c r="D94" s="1" t="s">
        <v>298</v>
      </c>
      <c r="E94" s="1" t="s">
        <v>13</v>
      </c>
      <c r="F94" s="1" t="s">
        <v>42</v>
      </c>
      <c r="G94" s="1">
        <v>9647517989</v>
      </c>
      <c r="H94" s="1">
        <v>964734398</v>
      </c>
      <c r="I94" s="1" t="s">
        <v>299</v>
      </c>
      <c r="J94" s="1">
        <v>3</v>
      </c>
      <c r="K94" s="1">
        <v>3</v>
      </c>
      <c r="L94" t="str">
        <f t="shared" si="1"/>
        <v>e.empln93@iraqioil.gov.ir</v>
      </c>
    </row>
    <row r="95" spans="1:12" x14ac:dyDescent="0.3">
      <c r="A95" s="1">
        <v>94</v>
      </c>
      <c r="B95" s="1" t="s">
        <v>21</v>
      </c>
      <c r="C95" s="1" t="s">
        <v>300</v>
      </c>
      <c r="D95" s="1" t="s">
        <v>301</v>
      </c>
      <c r="E95" s="1" t="s">
        <v>13</v>
      </c>
      <c r="F95" s="1" t="s">
        <v>24</v>
      </c>
      <c r="G95" s="1">
        <v>9647968044</v>
      </c>
      <c r="H95" s="1">
        <v>9647514422</v>
      </c>
      <c r="I95" s="1" t="s">
        <v>302</v>
      </c>
      <c r="J95" s="1">
        <v>3</v>
      </c>
      <c r="K95" s="1">
        <v>3</v>
      </c>
      <c r="L95" t="str">
        <f t="shared" si="1"/>
        <v>e.empln94@iraqioil.gov.ir</v>
      </c>
    </row>
    <row r="96" spans="1:12" x14ac:dyDescent="0.3">
      <c r="A96" s="1">
        <v>95</v>
      </c>
      <c r="B96" s="1" t="s">
        <v>16</v>
      </c>
      <c r="C96" s="1" t="s">
        <v>303</v>
      </c>
      <c r="D96" s="1" t="s">
        <v>304</v>
      </c>
      <c r="E96" s="1" t="s">
        <v>13</v>
      </c>
      <c r="F96" s="1" t="s">
        <v>24</v>
      </c>
      <c r="G96" s="1">
        <v>9647593841</v>
      </c>
      <c r="H96" s="1">
        <v>9647450262</v>
      </c>
      <c r="I96" s="1" t="s">
        <v>305</v>
      </c>
      <c r="J96" s="1">
        <v>2</v>
      </c>
      <c r="K96" s="1">
        <v>3</v>
      </c>
      <c r="L96" t="str">
        <f t="shared" si="1"/>
        <v>e.empln95@iraqioil.gov.ir</v>
      </c>
    </row>
    <row r="97" spans="1:12" x14ac:dyDescent="0.3">
      <c r="A97" s="1">
        <v>96</v>
      </c>
      <c r="B97" s="1" t="s">
        <v>36</v>
      </c>
      <c r="C97" s="1" t="s">
        <v>306</v>
      </c>
      <c r="D97" s="1" t="s">
        <v>307</v>
      </c>
      <c r="E97" s="1" t="s">
        <v>13</v>
      </c>
      <c r="F97" s="1" t="s">
        <v>42</v>
      </c>
      <c r="G97" s="1">
        <v>9647817091</v>
      </c>
      <c r="H97" s="1">
        <v>9647348820</v>
      </c>
      <c r="I97" s="1" t="s">
        <v>308</v>
      </c>
      <c r="J97" s="1">
        <v>1</v>
      </c>
      <c r="K97" s="1">
        <v>2</v>
      </c>
      <c r="L97" t="str">
        <f t="shared" si="1"/>
        <v>e.empln96@iraqioil.gov.ir</v>
      </c>
    </row>
    <row r="98" spans="1:12" x14ac:dyDescent="0.3">
      <c r="A98" s="1">
        <v>97</v>
      </c>
      <c r="B98" s="1" t="s">
        <v>10</v>
      </c>
      <c r="C98" s="1" t="s">
        <v>309</v>
      </c>
      <c r="D98" s="1" t="s">
        <v>310</v>
      </c>
      <c r="E98" s="1" t="s">
        <v>13</v>
      </c>
      <c r="F98" s="1" t="s">
        <v>31</v>
      </c>
      <c r="G98" s="1">
        <v>9647352694</v>
      </c>
      <c r="H98" s="1">
        <v>9647374031</v>
      </c>
      <c r="I98" s="1" t="s">
        <v>311</v>
      </c>
      <c r="J98" s="1">
        <v>4</v>
      </c>
      <c r="K98" s="1">
        <v>3</v>
      </c>
      <c r="L98" t="str">
        <f t="shared" si="1"/>
        <v>e.empln97@iraqioil.gov.ir</v>
      </c>
    </row>
    <row r="99" spans="1:12" x14ac:dyDescent="0.3">
      <c r="A99" s="1">
        <v>98</v>
      </c>
      <c r="B99" s="1" t="s">
        <v>10</v>
      </c>
      <c r="C99" s="1" t="s">
        <v>312</v>
      </c>
      <c r="D99" s="1" t="s">
        <v>313</v>
      </c>
      <c r="E99" s="1" t="s">
        <v>13</v>
      </c>
      <c r="F99" s="1" t="s">
        <v>24</v>
      </c>
      <c r="G99" s="1">
        <v>9647539877</v>
      </c>
      <c r="H99" s="1">
        <v>9647316123</v>
      </c>
      <c r="I99" s="1" t="s">
        <v>314</v>
      </c>
      <c r="J99" s="1">
        <v>4</v>
      </c>
      <c r="K99" s="1">
        <v>3</v>
      </c>
      <c r="L99" t="str">
        <f t="shared" si="1"/>
        <v>e.empln98@iraqioil.gov.ir</v>
      </c>
    </row>
    <row r="100" spans="1:12" x14ac:dyDescent="0.3">
      <c r="A100" s="1">
        <v>99</v>
      </c>
      <c r="B100" s="1" t="s">
        <v>10</v>
      </c>
      <c r="C100" s="1" t="s">
        <v>315</v>
      </c>
      <c r="D100" s="1" t="s">
        <v>316</v>
      </c>
      <c r="E100" s="1" t="s">
        <v>13</v>
      </c>
      <c r="F100" s="1" t="s">
        <v>24</v>
      </c>
      <c r="G100" s="1">
        <v>9647947772</v>
      </c>
      <c r="H100" s="1">
        <v>9647450515</v>
      </c>
      <c r="I100" s="1" t="s">
        <v>317</v>
      </c>
      <c r="J100" s="1">
        <v>2</v>
      </c>
      <c r="K100" s="1">
        <v>3</v>
      </c>
      <c r="L100" t="str">
        <f t="shared" si="1"/>
        <v>e.empln99@iraqioil.gov.ir</v>
      </c>
    </row>
    <row r="101" spans="1:12" x14ac:dyDescent="0.3">
      <c r="A101" s="1">
        <v>100</v>
      </c>
      <c r="B101" s="1" t="s">
        <v>10</v>
      </c>
      <c r="C101" s="1" t="s">
        <v>318</v>
      </c>
      <c r="D101" s="1" t="s">
        <v>319</v>
      </c>
      <c r="E101" s="1" t="s">
        <v>13</v>
      </c>
      <c r="F101" s="1" t="s">
        <v>19</v>
      </c>
      <c r="G101" s="1">
        <v>9647991010</v>
      </c>
      <c r="H101" s="1">
        <v>9647517611</v>
      </c>
      <c r="I101" s="1" t="s">
        <v>320</v>
      </c>
      <c r="J101" s="1">
        <v>3</v>
      </c>
      <c r="K101" s="1">
        <v>2</v>
      </c>
      <c r="L101" t="str">
        <f t="shared" si="1"/>
        <v>e.empln100@iraqioil.gov.ir</v>
      </c>
    </row>
    <row r="102" spans="1:12" x14ac:dyDescent="0.3">
      <c r="A102" s="1">
        <v>101</v>
      </c>
      <c r="B102" s="1" t="s">
        <v>80</v>
      </c>
      <c r="C102" s="1" t="s">
        <v>321</v>
      </c>
      <c r="D102" s="1" t="s">
        <v>322</v>
      </c>
      <c r="E102" s="1" t="s">
        <v>13</v>
      </c>
      <c r="F102" s="1" t="s">
        <v>14</v>
      </c>
      <c r="G102" s="1">
        <v>964725779</v>
      </c>
      <c r="H102" s="1">
        <v>9647333965</v>
      </c>
      <c r="I102" s="1" t="s">
        <v>323</v>
      </c>
      <c r="J102" s="1">
        <v>2</v>
      </c>
      <c r="K102" s="1">
        <v>3</v>
      </c>
      <c r="L102" t="str">
        <f t="shared" si="1"/>
        <v>e.empln101@iraqioil.gov.ir</v>
      </c>
    </row>
    <row r="103" spans="1:12" x14ac:dyDescent="0.3">
      <c r="A103" s="1">
        <v>102</v>
      </c>
      <c r="B103" s="1" t="s">
        <v>21</v>
      </c>
      <c r="C103" s="1" t="s">
        <v>324</v>
      </c>
      <c r="D103" s="1" t="s">
        <v>325</v>
      </c>
      <c r="E103" s="1" t="s">
        <v>13</v>
      </c>
      <c r="F103" s="1" t="s">
        <v>14</v>
      </c>
      <c r="G103" s="1">
        <v>9647148457</v>
      </c>
      <c r="H103" s="1">
        <v>96477658</v>
      </c>
      <c r="I103" s="1" t="s">
        <v>326</v>
      </c>
      <c r="J103" s="1">
        <v>2</v>
      </c>
      <c r="K103" s="1">
        <v>3</v>
      </c>
      <c r="L103" t="str">
        <f t="shared" si="1"/>
        <v>e.empln102@iraqioil.gov.ir</v>
      </c>
    </row>
    <row r="104" spans="1:12" x14ac:dyDescent="0.3">
      <c r="A104" s="1">
        <v>103</v>
      </c>
      <c r="B104" s="1" t="s">
        <v>16</v>
      </c>
      <c r="C104" s="1" t="s">
        <v>327</v>
      </c>
      <c r="D104" s="1" t="s">
        <v>328</v>
      </c>
      <c r="E104" s="1" t="s">
        <v>13</v>
      </c>
      <c r="F104" s="1" t="s">
        <v>42</v>
      </c>
      <c r="G104" s="1">
        <v>9647320595</v>
      </c>
      <c r="H104" s="1">
        <v>9647137867</v>
      </c>
      <c r="I104" s="1" t="s">
        <v>329</v>
      </c>
      <c r="J104" s="1">
        <v>3</v>
      </c>
      <c r="K104" s="1">
        <v>1</v>
      </c>
      <c r="L104" t="str">
        <f t="shared" si="1"/>
        <v>e.empln103@iraqioil.gov.ir</v>
      </c>
    </row>
    <row r="105" spans="1:12" x14ac:dyDescent="0.3">
      <c r="A105" s="1">
        <v>104</v>
      </c>
      <c r="B105" s="1" t="s">
        <v>16</v>
      </c>
      <c r="C105" s="1" t="s">
        <v>330</v>
      </c>
      <c r="D105" s="1" t="s">
        <v>331</v>
      </c>
      <c r="E105" s="1" t="s">
        <v>13</v>
      </c>
      <c r="F105" s="1" t="s">
        <v>19</v>
      </c>
      <c r="G105" s="1">
        <v>9647276022</v>
      </c>
      <c r="H105" s="1">
        <v>9647325911</v>
      </c>
      <c r="I105" s="1" t="s">
        <v>332</v>
      </c>
      <c r="J105" s="1">
        <v>4</v>
      </c>
      <c r="K105" s="1">
        <v>1</v>
      </c>
      <c r="L105" t="str">
        <f t="shared" si="1"/>
        <v>e.empln104@iraqioil.gov.ir</v>
      </c>
    </row>
    <row r="106" spans="1:12" x14ac:dyDescent="0.3">
      <c r="A106" s="1">
        <v>105</v>
      </c>
      <c r="B106" s="1" t="s">
        <v>80</v>
      </c>
      <c r="C106" s="1" t="s">
        <v>333</v>
      </c>
      <c r="D106" s="1" t="s">
        <v>334</v>
      </c>
      <c r="E106" s="1" t="s">
        <v>13</v>
      </c>
      <c r="F106" s="1" t="s">
        <v>31</v>
      </c>
      <c r="G106" s="1">
        <v>9647925149</v>
      </c>
      <c r="H106" s="1">
        <v>9647731213</v>
      </c>
      <c r="I106" s="1" t="s">
        <v>335</v>
      </c>
      <c r="J106" s="1">
        <v>4</v>
      </c>
      <c r="K106" s="1">
        <v>1</v>
      </c>
      <c r="L106" t="str">
        <f t="shared" si="1"/>
        <v>e.empln105@iraqioil.gov.ir</v>
      </c>
    </row>
    <row r="107" spans="1:12" x14ac:dyDescent="0.3">
      <c r="A107" s="1">
        <v>106</v>
      </c>
      <c r="B107" s="1" t="s">
        <v>36</v>
      </c>
      <c r="C107" s="1" t="s">
        <v>336</v>
      </c>
      <c r="D107" s="1" t="s">
        <v>337</v>
      </c>
      <c r="E107" s="1" t="s">
        <v>13</v>
      </c>
      <c r="F107" s="1" t="s">
        <v>14</v>
      </c>
      <c r="G107" s="1">
        <v>9647776821</v>
      </c>
      <c r="H107" s="1">
        <v>9647688316</v>
      </c>
      <c r="I107" s="1" t="s">
        <v>338</v>
      </c>
      <c r="J107" s="1">
        <v>0</v>
      </c>
      <c r="K107" s="1">
        <v>2</v>
      </c>
      <c r="L107" t="str">
        <f t="shared" si="1"/>
        <v>e.empln106@iraqioil.gov.ir</v>
      </c>
    </row>
    <row r="108" spans="1:12" x14ac:dyDescent="0.3">
      <c r="A108" s="1">
        <v>107</v>
      </c>
      <c r="B108" s="1" t="s">
        <v>21</v>
      </c>
      <c r="C108" s="1" t="s">
        <v>339</v>
      </c>
      <c r="D108" s="1" t="s">
        <v>340</v>
      </c>
      <c r="E108" s="1" t="s">
        <v>13</v>
      </c>
      <c r="F108" s="1" t="s">
        <v>19</v>
      </c>
      <c r="G108" s="1">
        <v>9647277126</v>
      </c>
      <c r="H108" s="1">
        <v>96473621</v>
      </c>
      <c r="I108" s="1" t="s">
        <v>341</v>
      </c>
      <c r="J108" s="1">
        <v>0</v>
      </c>
      <c r="K108" s="1">
        <v>3</v>
      </c>
      <c r="L108" t="str">
        <f t="shared" si="1"/>
        <v>e.empln107@iraqioil.gov.ir</v>
      </c>
    </row>
    <row r="109" spans="1:12" x14ac:dyDescent="0.3">
      <c r="A109" s="1">
        <v>108</v>
      </c>
      <c r="B109" s="1" t="s">
        <v>21</v>
      </c>
      <c r="C109" s="1" t="s">
        <v>342</v>
      </c>
      <c r="D109" s="1" t="s">
        <v>343</v>
      </c>
      <c r="E109" s="1" t="s">
        <v>13</v>
      </c>
      <c r="F109" s="1" t="s">
        <v>24</v>
      </c>
      <c r="G109" s="1">
        <v>9647339876</v>
      </c>
      <c r="H109" s="1">
        <v>9647198785</v>
      </c>
      <c r="I109" s="1" t="s">
        <v>344</v>
      </c>
      <c r="J109" s="1">
        <v>4</v>
      </c>
      <c r="K109" s="1">
        <v>1</v>
      </c>
      <c r="L109" t="str">
        <f t="shared" si="1"/>
        <v>e.empln108@iraqioil.gov.ir</v>
      </c>
    </row>
    <row r="110" spans="1:12" x14ac:dyDescent="0.3">
      <c r="A110" s="1">
        <v>109</v>
      </c>
      <c r="B110" s="1" t="s">
        <v>36</v>
      </c>
      <c r="C110" s="1" t="s">
        <v>345</v>
      </c>
      <c r="D110" s="1" t="s">
        <v>346</v>
      </c>
      <c r="E110" s="1" t="s">
        <v>13</v>
      </c>
      <c r="F110" s="1" t="s">
        <v>24</v>
      </c>
      <c r="G110" s="1">
        <v>9647833235</v>
      </c>
      <c r="H110" s="1">
        <v>9647851319</v>
      </c>
      <c r="I110" s="1" t="s">
        <v>347</v>
      </c>
      <c r="J110" s="1">
        <v>3</v>
      </c>
      <c r="K110" s="1">
        <v>1</v>
      </c>
      <c r="L110" t="str">
        <f t="shared" si="1"/>
        <v>e.empln109@iraqioil.gov.ir</v>
      </c>
    </row>
    <row r="111" spans="1:12" x14ac:dyDescent="0.3">
      <c r="A111" s="1">
        <v>110</v>
      </c>
      <c r="B111" s="1" t="s">
        <v>16</v>
      </c>
      <c r="C111" s="1" t="s">
        <v>348</v>
      </c>
      <c r="D111" s="1" t="s">
        <v>349</v>
      </c>
      <c r="E111" s="1" t="s">
        <v>13</v>
      </c>
      <c r="F111" s="1" t="s">
        <v>31</v>
      </c>
      <c r="G111" s="1">
        <v>9647942702</v>
      </c>
      <c r="H111" s="1">
        <v>9647560601</v>
      </c>
      <c r="I111" s="1" t="s">
        <v>350</v>
      </c>
      <c r="J111" s="1">
        <v>4</v>
      </c>
      <c r="K111" s="1">
        <v>1</v>
      </c>
      <c r="L111" t="str">
        <f t="shared" si="1"/>
        <v>e.empln110@iraqioil.gov.ir</v>
      </c>
    </row>
    <row r="112" spans="1:12" x14ac:dyDescent="0.3">
      <c r="A112" s="1">
        <v>111</v>
      </c>
      <c r="B112" s="1" t="s">
        <v>21</v>
      </c>
      <c r="C112" s="1" t="s">
        <v>351</v>
      </c>
      <c r="D112" s="1" t="s">
        <v>352</v>
      </c>
      <c r="E112" s="1" t="s">
        <v>13</v>
      </c>
      <c r="F112" s="1" t="s">
        <v>31</v>
      </c>
      <c r="G112" s="1">
        <v>9647962455</v>
      </c>
      <c r="H112" s="1">
        <v>9647965025</v>
      </c>
      <c r="I112" s="1" t="s">
        <v>353</v>
      </c>
      <c r="J112" s="1">
        <v>4</v>
      </c>
      <c r="K112" s="1">
        <v>3</v>
      </c>
      <c r="L112" t="str">
        <f t="shared" si="1"/>
        <v>e.empln111@iraqioil.gov.ir</v>
      </c>
    </row>
    <row r="113" spans="1:12" x14ac:dyDescent="0.3">
      <c r="A113" s="1">
        <v>112</v>
      </c>
      <c r="B113" s="1" t="s">
        <v>21</v>
      </c>
      <c r="C113" s="1" t="s">
        <v>354</v>
      </c>
      <c r="D113" s="1" t="s">
        <v>355</v>
      </c>
      <c r="E113" s="1" t="s">
        <v>13</v>
      </c>
      <c r="F113" s="1" t="s">
        <v>14</v>
      </c>
      <c r="G113" s="1">
        <v>9647511996</v>
      </c>
      <c r="H113" s="1">
        <v>9647373137</v>
      </c>
      <c r="I113" s="1" t="s">
        <v>356</v>
      </c>
      <c r="J113" s="1">
        <v>1</v>
      </c>
      <c r="K113" s="1">
        <v>2</v>
      </c>
      <c r="L113" t="str">
        <f t="shared" si="1"/>
        <v>e.empln112@iraqioil.gov.ir</v>
      </c>
    </row>
    <row r="114" spans="1:12" x14ac:dyDescent="0.3">
      <c r="A114" s="1">
        <v>113</v>
      </c>
      <c r="B114" s="1" t="s">
        <v>80</v>
      </c>
      <c r="C114" s="1" t="s">
        <v>357</v>
      </c>
      <c r="D114" s="1" t="s">
        <v>358</v>
      </c>
      <c r="E114" s="1" t="s">
        <v>13</v>
      </c>
      <c r="F114" s="1" t="s">
        <v>31</v>
      </c>
      <c r="G114" s="1">
        <v>9647501382</v>
      </c>
      <c r="H114" s="1">
        <v>9647424841</v>
      </c>
      <c r="I114" s="1" t="s">
        <v>359</v>
      </c>
      <c r="J114" s="1">
        <v>3</v>
      </c>
      <c r="K114" s="1">
        <v>3</v>
      </c>
      <c r="L114" t="str">
        <f t="shared" si="1"/>
        <v>e.empln113@iraqioil.gov.ir</v>
      </c>
    </row>
    <row r="115" spans="1:12" x14ac:dyDescent="0.3">
      <c r="A115" s="1">
        <v>114</v>
      </c>
      <c r="B115" s="1" t="s">
        <v>10</v>
      </c>
      <c r="C115" s="1" t="s">
        <v>360</v>
      </c>
      <c r="D115" s="1" t="s">
        <v>361</v>
      </c>
      <c r="E115" s="1" t="s">
        <v>13</v>
      </c>
      <c r="F115" s="1" t="s">
        <v>42</v>
      </c>
      <c r="G115" s="1">
        <v>9647525467</v>
      </c>
      <c r="H115" s="1">
        <v>964728330</v>
      </c>
      <c r="I115" s="1" t="s">
        <v>362</v>
      </c>
      <c r="J115" s="1">
        <v>2</v>
      </c>
      <c r="K115" s="1">
        <v>3</v>
      </c>
      <c r="L115" t="str">
        <f t="shared" si="1"/>
        <v>e.empln114@iraqioil.gov.ir</v>
      </c>
    </row>
    <row r="116" spans="1:12" x14ac:dyDescent="0.3">
      <c r="A116" s="1">
        <v>115</v>
      </c>
      <c r="B116" s="1" t="s">
        <v>21</v>
      </c>
      <c r="C116" s="1" t="s">
        <v>363</v>
      </c>
      <c r="D116" s="1" t="s">
        <v>364</v>
      </c>
      <c r="E116" s="1" t="s">
        <v>13</v>
      </c>
      <c r="F116" s="1" t="s">
        <v>42</v>
      </c>
      <c r="G116" s="1">
        <v>9647112436</v>
      </c>
      <c r="H116" s="1">
        <v>964775803</v>
      </c>
      <c r="I116" s="1" t="s">
        <v>365</v>
      </c>
      <c r="J116" s="1">
        <v>0</v>
      </c>
      <c r="K116" s="1">
        <v>3</v>
      </c>
      <c r="L116" t="str">
        <f t="shared" si="1"/>
        <v>e.empln115@iraqioil.gov.ir</v>
      </c>
    </row>
    <row r="117" spans="1:12" x14ac:dyDescent="0.3">
      <c r="A117" s="1">
        <v>116</v>
      </c>
      <c r="B117" s="1" t="s">
        <v>80</v>
      </c>
      <c r="C117" s="1" t="s">
        <v>366</v>
      </c>
      <c r="D117" s="1" t="s">
        <v>367</v>
      </c>
      <c r="E117" s="1" t="s">
        <v>13</v>
      </c>
      <c r="F117" s="1" t="s">
        <v>42</v>
      </c>
      <c r="G117" s="1">
        <v>9647454572</v>
      </c>
      <c r="H117" s="1">
        <v>9647395178</v>
      </c>
      <c r="I117" s="1" t="s">
        <v>368</v>
      </c>
      <c r="J117" s="1">
        <v>3</v>
      </c>
      <c r="K117" s="1">
        <v>3</v>
      </c>
      <c r="L117" t="str">
        <f t="shared" si="1"/>
        <v>e.empln116@iraqioil.gov.ir</v>
      </c>
    </row>
    <row r="118" spans="1:12" x14ac:dyDescent="0.3">
      <c r="A118" s="1">
        <v>117</v>
      </c>
      <c r="B118" s="1" t="s">
        <v>36</v>
      </c>
      <c r="C118" s="1" t="s">
        <v>369</v>
      </c>
      <c r="D118" s="1" t="s">
        <v>370</v>
      </c>
      <c r="E118" s="1" t="s">
        <v>13</v>
      </c>
      <c r="F118" s="1" t="s">
        <v>19</v>
      </c>
      <c r="G118" s="1">
        <v>9647752743</v>
      </c>
      <c r="H118" s="1">
        <v>9647539854</v>
      </c>
      <c r="I118" s="1" t="s">
        <v>371</v>
      </c>
      <c r="J118" s="1">
        <v>2</v>
      </c>
      <c r="K118" s="1">
        <v>2</v>
      </c>
      <c r="L118" t="str">
        <f t="shared" si="1"/>
        <v>e.empln117@iraqioil.gov.ir</v>
      </c>
    </row>
    <row r="119" spans="1:12" x14ac:dyDescent="0.3">
      <c r="A119" s="1">
        <v>118</v>
      </c>
      <c r="B119" s="1" t="s">
        <v>80</v>
      </c>
      <c r="C119" s="1" t="s">
        <v>372</v>
      </c>
      <c r="D119" s="1" t="s">
        <v>373</v>
      </c>
      <c r="E119" s="1" t="s">
        <v>13</v>
      </c>
      <c r="F119" s="1" t="s">
        <v>14</v>
      </c>
      <c r="G119" s="1">
        <v>9647527522</v>
      </c>
      <c r="H119" s="1">
        <v>9647831919</v>
      </c>
      <c r="I119" s="1" t="s">
        <v>374</v>
      </c>
      <c r="J119" s="1">
        <v>2</v>
      </c>
      <c r="K119" s="1">
        <v>2</v>
      </c>
      <c r="L119" t="str">
        <f t="shared" si="1"/>
        <v>e.empln118@iraqioil.gov.ir</v>
      </c>
    </row>
    <row r="120" spans="1:12" x14ac:dyDescent="0.3">
      <c r="A120" s="1">
        <v>119</v>
      </c>
      <c r="B120" s="1" t="s">
        <v>10</v>
      </c>
      <c r="C120" s="1" t="s">
        <v>375</v>
      </c>
      <c r="D120" s="1" t="s">
        <v>376</v>
      </c>
      <c r="E120" s="1" t="s">
        <v>13</v>
      </c>
      <c r="F120" s="1" t="s">
        <v>42</v>
      </c>
      <c r="G120" s="1">
        <v>9647908814</v>
      </c>
      <c r="H120" s="1">
        <v>9647810165</v>
      </c>
      <c r="I120" s="1" t="s">
        <v>377</v>
      </c>
      <c r="J120" s="1">
        <v>1</v>
      </c>
      <c r="K120" s="1">
        <v>1</v>
      </c>
      <c r="L120" t="str">
        <f t="shared" si="1"/>
        <v>e.empln119@iraqioil.gov.ir</v>
      </c>
    </row>
    <row r="121" spans="1:12" x14ac:dyDescent="0.3">
      <c r="A121" s="1">
        <v>120</v>
      </c>
      <c r="B121" s="1" t="s">
        <v>16</v>
      </c>
      <c r="C121" s="1" t="s">
        <v>378</v>
      </c>
      <c r="D121" s="1" t="s">
        <v>379</v>
      </c>
      <c r="E121" s="1" t="s">
        <v>13</v>
      </c>
      <c r="F121" s="1" t="s">
        <v>14</v>
      </c>
      <c r="G121" s="1">
        <v>9647775224</v>
      </c>
      <c r="H121" s="1">
        <v>9647839916</v>
      </c>
      <c r="I121" s="1" t="s">
        <v>380</v>
      </c>
      <c r="J121" s="1">
        <v>4</v>
      </c>
      <c r="K121" s="1">
        <v>3</v>
      </c>
      <c r="L121" t="str">
        <f t="shared" si="1"/>
        <v>e.empln120@iraqioil.gov.ir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Mr_Robot</dc:creator>
  <cp:lastModifiedBy>Shahriare Khan Shahrukh</cp:lastModifiedBy>
  <dcterms:created xsi:type="dcterms:W3CDTF">2026-04-10T17:18:15Z</dcterms:created>
  <dcterms:modified xsi:type="dcterms:W3CDTF">2026-05-16T07:52:40Z</dcterms:modified>
</cp:coreProperties>
</file>