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d073e4f86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27e88e17e454444"/>
    <x:sheet xmlns:r="http://schemas.openxmlformats.org/officeDocument/2006/relationships" name="weekly_report" sheetId="2" r:id="R689a02e73c70484b"/>
    <x:sheet xmlns:r="http://schemas.openxmlformats.org/officeDocument/2006/relationships" name="daily_production" sheetId="3" r:id="R9f5584caa08941fe"/>
    <x:sheet xmlns:r="http://schemas.openxmlformats.org/officeDocument/2006/relationships" name="employee" sheetId="4" r:id="R9a1b16af8cb24311"/>
    <x:sheet xmlns:r="http://schemas.openxmlformats.org/officeDocument/2006/relationships" name="Project_Info" sheetId="5" r:id="Rc84772db25b2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"/>
    <x:numFmt numFmtId="202" formatCode="0.0%"/>
    <x:numFmt numFmtId="203" formatCode="h:mm AM/PM"/>
    <x:numFmt numFmtId="204" formatCode="#,##0"/>
    <x:numFmt numFmtId="205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20"/>
      <x:color rgb="FFFFFF"/>
      <x:name val="Carlito"/>
    </x:font>
    <x:font>
      <x:i/>
      <x:sz val="11"/>
      <x:color rgb="475569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334155"/>
      </x:patternFill>
    </x:fill>
    <x:fill>
      <x:patternFill patternType="solid">
        <x:fgColor rgb="FDE68A"/>
      </x:patternFill>
    </x:fill>
    <x:fill>
      <x:patternFill patternType="solid">
        <x:fgColor rgb="166534"/>
      </x:patternFill>
    </x:fill>
    <x:fill>
      <x:patternFill patternType="solid">
        <x:fgColor rgb="7C2D12"/>
      </x:patternFill>
    </x:fill>
  </x:fills>
  <x:borders count="32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  <x:border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201" fontId="4" fillId="4" borderId="3" xfId="0" applyNumberFormat="1" applyFont="1" applyFill="1" applyBorder="1"/>
    <x:xf numFmtId="201" fontId="4" fillId="4" borderId="5" xfId="0" applyNumberFormat="1" applyFont="1" applyFill="1" applyBorder="1"/>
    <x:xf numFmtId="201" fontId="4" fillId="4" borderId="9" xfId="0" applyNumberFormat="1" applyFont="1" applyFill="1" applyBorder="1"/>
    <x:xf numFmtId="201" fontId="4" fillId="4" borderId="11" xfId="0" applyNumberFormat="1" applyFont="1" applyFill="1" applyBorder="1"/>
    <x:xf numFmtId="204" fontId="4" fillId="4" borderId="5" xfId="0" applyNumberFormat="1" applyFont="1" applyFill="1" applyBorder="1"/>
    <x:xf numFmtId="204" fontId="4" fillId="4" borderId="11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204" fontId="0" fillId="0" borderId="15" xfId="0" applyNumberFormat="1" applyFont="1" applyFill="1" applyBorder="1"/>
    <x:xf numFmtId="204" fontId="0" fillId="0" borderId="18" xfId="0" applyNumberFormat="1" applyFont="1" applyFill="1" applyBorder="1"/>
    <x:xf numFmtId="204" fontId="0" fillId="0" borderId="21" xfId="0" applyNumberFormat="1" applyFont="1" applyFill="1" applyBorder="1"/>
    <x:xf numFmtId="204" fontId="0" fillId="0" borderId="24" xfId="0" applyNumberFormat="1" applyFont="1" applyFill="1" applyBorder="1"/>
    <x:xf numFmtId="204" fontId="0" fillId="0" borderId="27" xfId="0" applyNumberFormat="1" applyFont="1" applyFill="1" applyBorder="1"/>
    <x:xf numFmtId="204" fontId="0" fillId="0" borderId="30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201" fontId="0" fillId="0" borderId="27" xfId="0" applyNumberFormat="1" applyFont="1" applyFill="1" applyBorder="1"/>
    <x:xf numFmtId="201" fontId="0" fillId="0" borderId="3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cf325e4e54ea2" /><Relationship Type="http://schemas.openxmlformats.org/officeDocument/2006/relationships/theme" Target="/xl/theme/theme1.xml" Id="R2cd33c332bd0489a" /><Relationship Type="http://schemas.openxmlformats.org/officeDocument/2006/relationships/sharedStrings" Target="/xl/sharedStrings.xml" Id="R90fa50fc88f74933" /><Relationship Type="http://schemas.openxmlformats.org/officeDocument/2006/relationships/worksheet" Target="/xl/worksheets/sheet1.xml" Id="R427e88e17e454444" /><Relationship Type="http://schemas.openxmlformats.org/officeDocument/2006/relationships/worksheet" Target="/xl/worksheets/sheet2.xml" Id="R689a02e73c70484b" /><Relationship Type="http://schemas.openxmlformats.org/officeDocument/2006/relationships/worksheet" Target="/xl/worksheets/sheet3.xml" Id="R9f5584caa08941fe" /><Relationship Type="http://schemas.openxmlformats.org/officeDocument/2006/relationships/worksheet" Target="/xl/worksheets/sheet4.xml" Id="R9a1b16af8cb24311" /><Relationship Type="http://schemas.openxmlformats.org/officeDocument/2006/relationships/worksheet" Target="/xl/worksheets/sheet5.xml" Id="Rc84772db25b24f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81576b391a4f99" /><Relationship Type="http://schemas.openxmlformats.org/officeDocument/2006/relationships/chart" Target="/xl/drawings/charts/chart2.xml" Id="R8850c8b484c44b0c" /><Relationship Type="http://schemas.openxmlformats.org/officeDocument/2006/relationships/chart" Target="/xl/drawings/charts/chart3.xml" Id="R0fbff76ed7f3496a" /><Relationship Type="http://schemas.openxmlformats.org/officeDocument/2006/relationships/chart" Target="/xl/drawings/charts/chart4.xml" Id="R55c0d1a20269439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Total Quantity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'Dashboard'!$F$5:$F$11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Export Quantity Share by Country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Total Quantity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Production by Oil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Production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'Dashboard'!$K$5:$K$10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Employees by Job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Employees</c:v>
          </c:tx>
          <c:cat>
            <c:strRef>
              <c:f>'Dashboard'!$J$14:$J$18</c:f>
              <c:strCache>
                <c:ptCount val="0"/>
              </c:strCache>
            </c:strRef>
          </c:cat>
          <c:val>
            <c:numRef>
              <c:f>'Dashboard'!$K$14:$K$18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81576b391a4f99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50c8b484c44b0c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bff76ed7f3496a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c0d1a2026943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CountrySalesSummary" displayName="CountrySalesSummary" ref="D4:H11" headerRowCount="1">
  <x:tableColumns count="5">
    <x:tableColumn id="1" name="Country"/>
    <x:tableColumn id="2" name="Total Quantity"/>
    <x:tableColumn id="3" name="Revenue"/>
    <x:tableColumn id="4" name="Total Price incl. GST/Customs"/>
    <x:tableColumn id="5" name="Companies"/>
  </x:tableColumns>
  <x:tableStyleInfo name="TableStyleMedium2" showRowStripes="1"/>
</x:table>
</file>

<file path=xl/tables/table2.xml><?xml version="1.0" encoding="utf-8"?>
<x:table xmlns:x="http://schemas.openxmlformats.org/spreadsheetml/2006/main" id="5" name="OilProductionSummary" displayName="OilProductionSummary" ref="J4:K10" headerRowCount="1">
  <x:tableColumns count="2">
    <x:tableColumn id="1" name="Oil Type"/>
    <x:tableColumn id="2" name="Total Production"/>
  </x:tableColumns>
  <x:tableStyleInfo name="TableStyleMedium2" showRowStripes="1"/>
</x:table>
</file>

<file path=xl/tables/table3.xml><?xml version="1.0" encoding="utf-8"?>
<x:table xmlns:x="http://schemas.openxmlformats.org/spreadsheetml/2006/main" id="6" name="JobTypeSummary" displayName="JobTypeSummary" ref="J13:K18" headerRowCount="1">
  <x:tableColumns count="2">
    <x:tableColumn id="1" name="Job Type"/>
    <x:tableColumn id="2" name="Employees"/>
  </x:tableColumns>
  <x:tableStyleInfo name="TableStyleMedium2" showRowStripes="1"/>
</x:table>
</file>

<file path=xl/tables/table4.xml><?xml version="1.0" encoding="utf-8"?>
<x:table xmlns:x="http://schemas.openxmlformats.org/spreadsheetml/2006/main" id="7" name="ExpenseSummary" displayName="ExpenseSummary" ref="A12:B16" headerRowCount="1">
  <x:tableColumns count="2">
    <x:tableColumn id="1" name="Expense Item"/>
    <x:tableColumn id="2" name="Quarterly Amount"/>
  </x:tableColumns>
  <x:tableStyleInfo name="TableStyleMedium2" showRowStripes="1"/>
</x:table>
</file>

<file path=xl/tables/table5.xml><?xml version="1.0" encoding="utf-8"?>
<x:table xmlns:x="http://schemas.openxmlformats.org/spreadsheetml/2006/main" id="1" name="WeeklyreportTable" displayName="WeeklyreportTable" ref="A1:S38" headerRowCount="1">
  <x:tableColumns count="19">
    <x:tableColumn id="1" name="oilName"/>
    <x:tableColumn id="2" name="usageDescription"/>
    <x:tableColumn id="3" name="Country"/>
    <x:tableColumn id="4" name="quantity"/>
    <x:tableColumn id="5" name="exportCompanyName"/>
    <x:tableColumn id="6" name="exportDate"/>
    <x:tableColumn id="7" name="CompanyAbbreviation"/>
    <x:tableColumn id="8" name="Country "/>
    <x:tableColumn id="9" name="Total  quantity per country"/>
    <x:tableColumn id="10" name="Companies"/>
    <x:tableColumn id="11" name="Start Date"/>
    <x:tableColumn id="12" name="End Date"/>
    <x:tableColumn id="13" name="BarrelPrice"/>
    <x:tableColumn id="14" name="GST"/>
    <x:tableColumn id="15" name="Customs"/>
    <x:tableColumn id="16" name="TotalPrice"/>
    <x:tableColumn id="17" name="Revenue"/>
    <x:tableColumn id="18" name="Total Revenue table"/>
    <x:tableColumn id="19" name="Amount:"/>
  </x:tableColumns>
  <x:tableStyleInfo name="TableStyleMedium2" showRowStripes="1"/>
</x:table>
</file>

<file path=xl/tables/table6.xml><?xml version="1.0" encoding="utf-8"?>
<x:table xmlns:x="http://schemas.openxmlformats.org/spreadsheetml/2006/main" id="2" name="DailyproductionTable" displayName="DailyproductionTable" ref="A1:N101" headerRowCount="1">
  <x:tableColumns count="14">
    <x:tableColumn id="1" name="id"/>
    <x:tableColumn id="2" name="date"/>
    <x:tableColumn id="3" name="numberOfDailyBarrel"/>
    <x:tableColumn id="4" name="wellName"/>
    <x:tableColumn id="5" name="filterationName"/>
    <x:tableColumn id="6" name="Diesel"/>
    <x:tableColumn id="7" name="productionTime"/>
    <x:tableColumn id="8" name="Oil Type"/>
    <x:tableColumn id="9" name="Total Production"/>
    <x:tableColumn id="10" name="Column10"/>
    <x:tableColumn id="11" name="Oil Station"/>
    <x:tableColumn id="12" name="Total"/>
    <x:tableColumn id="13" name="Well"/>
    <x:tableColumn id="14" name="Total"/>
  </x:tableColumns>
  <x:tableStyleInfo name="TableStyleMedium2" showRowStripes="1"/>
</x:table>
</file>

<file path=xl/tables/table7.xml><?xml version="1.0" encoding="utf-8"?>
<x:table xmlns:x="http://schemas.openxmlformats.org/spreadsheetml/2006/main" id="3" name="EmployeeTable" displayName="EmployeeTable" ref="A1:P121" headerRowCount="1">
  <x:tableColumns count="16">
    <x:tableColumn id="1" name="id"/>
    <x:tableColumn id="2" name="Job_type"/>
    <x:tableColumn id="3" name="firstName"/>
    <x:tableColumn id="4" name="lastName"/>
    <x:tableColumn id="5" name="middleName"/>
    <x:tableColumn id="6" name="address"/>
    <x:tableColumn id="7" name="mobile_phone"/>
    <x:tableColumn id="8" name="emergency_contact"/>
    <x:tableColumn id="9" name="wifeName"/>
    <x:tableColumn id="10" name="numberOfChildren"/>
    <x:tableColumn id="11" name="well_id"/>
    <x:tableColumn id="12" name="GeneratedEmail"/>
    <x:tableColumn id="13" name="Job Type"/>
    <x:tableColumn id="14" name="Count"/>
    <x:tableColumn id="15" name="Country"/>
    <x:tableColumn id="16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f54fcb60d4408b" /><Relationship Type="http://schemas.openxmlformats.org/officeDocument/2006/relationships/table" Target="/xl/tables/table1.xml" Id="R30bea4e6f55d4546" /><Relationship Type="http://schemas.openxmlformats.org/officeDocument/2006/relationships/table" Target="/xl/tables/table2.xml" Id="Ref6c63bc81dc46d6" /><Relationship Type="http://schemas.openxmlformats.org/officeDocument/2006/relationships/table" Target="/xl/tables/table3.xml" Id="R4e1c71f034ec4ee2" /><Relationship Type="http://schemas.openxmlformats.org/officeDocument/2006/relationships/table" Target="/xl/tables/table4.xml" Id="R91adcfaa00f1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84fb63d055f3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19cff231657d42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67439f76e7044b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4" max="4" width="16" hidden="0" customWidth="1"/>
    <x:col min="5" max="5" width="18" hidden="0" customWidth="1"/>
    <x:col min="6" max="6" width="18" hidden="0" customWidth="1"/>
    <x:col min="7" max="7" width="24" hidden="0" customWidth="1"/>
    <x:col min="8" max="8" width="36" hidden="0" customWidth="1"/>
    <x:col min="10" max="10" width="20" hidden="0" customWidth="1"/>
    <x:col min="11" max="11" width="18" hidden="0" customWidth="1"/>
  </x:cols>
  <x:sheetData>
    <x:row r="1" ht="36" customHeight="1">
      <x:c r="A1" s="23" t="str">
        <x:v>Sales Performance Dashboard - Anton Oil Company</x:v>
      </x:c>
    </x:row>
    <x:row r="2" ht="22" customHeight="1">
      <x:c r="A2" s="29" t="str">
        <x:v>Excel portfolio project built from exported SQL reports: sales, production, and employee data.</x:v>
      </x:c>
    </x:row>
    <x:row r="4">
      <x:c r="A4" s="34" t="str">
        <x:v>Total Revenue</x:v>
      </x:c>
      <x:c r="B4" s="48" t="n">
        <x:f>weekly_report!S2</x:f>
        <x:v>1632659136</x:v>
      </x:c>
      <x:c r="D4" s="4" t="str">
        <x:v>Country</x:v>
      </x:c>
      <x:c r="E4" s="4" t="str">
        <x:v>Total Quantity</x:v>
      </x:c>
      <x:c r="F4" s="4" t="str">
        <x:v>Revenue</x:v>
      </x:c>
      <x:c r="G4" s="4" t="str">
        <x:v>Total Price incl. GST/Customs</x:v>
      </x:c>
      <x:c r="H4" s="4" t="str">
        <x:v>Companies</x:v>
      </x:c>
      <x:c r="J4" s="98" t="str">
        <x:v>Oil Type</x:v>
      </x:c>
      <x:c r="K4" s="98" t="str">
        <x:v>Total Production</x:v>
      </x:c>
    </x:row>
    <x:row r="5">
      <x:c r="A5" s="36" t="str">
        <x:v>Total Expenses</x:v>
      </x:c>
      <x:c r="B5" s="49" t="n">
        <x:f>weekly_report!S3</x:f>
        <x:v>3213000</x:v>
      </x:c>
      <x:c r="D5" s="54" t="str">
        <x:f>weekly_report!H2</x:f>
        <x:v>Australia</x:v>
      </x:c>
      <x:c r="E5" s="72" t="n">
        <x:f>weekly_report!I2</x:f>
        <x:v>4160000</x:v>
      </x:c>
      <x:c r="F5" s="78" t="n">
        <x:f>E5*64</x:f>
        <x:v>266240000</x:v>
      </x:c>
      <x:c r="G5" s="78" t="n">
        <x:f>weekly_report!P2</x:f>
        <x:v>301383680.00000006</x:v>
      </x:c>
      <x:c r="H5" s="56" t="str">
        <x:f>weekly_report!J2</x:f>
        <x:v>AUS Energy Pty</x:v>
      </x:c>
      <x:c r="J5" t="str">
        <x:f>daily_production!H2</x:f>
        <x:v>Diesel</x:v>
      </x:c>
      <x:c r="K5" s="16" t="n">
        <x:f>daily_production!I2</x:f>
        <x:v>3560500</x:v>
      </x:c>
    </x:row>
    <x:row r="6">
      <x:c r="A6" s="36" t="str">
        <x:v>Profit</x:v>
      </x:c>
      <x:c r="B6" s="49" t="n">
        <x:f>weekly_report!S4</x:f>
        <x:v>1629446136</x:v>
      </x:c>
      <x:c r="D6" s="57" t="str">
        <x:f>weekly_report!H3</x:f>
        <x:v>China</x:v>
      </x:c>
      <x:c r="E6" s="73" t="n">
        <x:f>weekly_report!I3</x:f>
        <x:v>3470000</x:v>
      </x:c>
      <x:c r="F6" s="79" t="n">
        <x:f>E6*64</x:f>
        <x:v>222080000</x:v>
      </x:c>
      <x:c r="G6" s="79" t="n">
        <x:f>weekly_report!P3</x:f>
        <x:v>253615359.99999997</x:v>
      </x:c>
      <x:c r="H6" s="59" t="str">
        <x:f>weekly_report!J3</x:f>
        <x:v>China Petro Export, Sino Export Ltd</x:v>
      </x:c>
      <x:c r="J6" t="str">
        <x:f>daily_production!H3</x:f>
        <x:v>Gasoline</x:v>
      </x:c>
      <x:c r="K6" s="16" t="n">
        <x:f>daily_production!I3</x:f>
        <x:v>6213814</x:v>
      </x:c>
    </x:row>
    <x:row r="7">
      <x:c r="A7" s="36" t="str">
        <x:v>Total Employees</x:v>
      </x:c>
      <x:c r="B7" s="52" t="n">
        <x:f>COUNTA(employee!A2:A121)</x:f>
        <x:v>120</x:v>
      </x:c>
      <x:c r="D7" s="57" t="str">
        <x:f>weekly_report!H4</x:f>
        <x:v>Japan</x:v>
      </x:c>
      <x:c r="E7" s="73" t="n">
        <x:f>weekly_report!I4</x:f>
        <x:v>3360000</x:v>
      </x:c>
      <x:c r="F7" s="79" t="n">
        <x:f>E7*64</x:f>
        <x:v>215040000</x:v>
      </x:c>
      <x:c r="G7" s="79" t="n">
        <x:f>weekly_report!P4</x:f>
        <x:v>241274880.00000003</x:v>
      </x:c>
      <x:c r="H7" s="59" t="str">
        <x:f>weekly_report!J4</x:f>
        <x:v>Japan Oil Trading</x:v>
      </x:c>
      <x:c r="J7" t="str">
        <x:f>daily_production!H4</x:f>
        <x:v>Heating Oil</x:v>
      </x:c>
      <x:c r="K7" s="16" t="n">
        <x:f>daily_production!I4</x:f>
        <x:v>8123050</x:v>
      </x:c>
    </x:row>
    <x:row r="8">
      <x:c r="A8" s="36" t="str">
        <x:v>Total Production Barrels</x:v>
      </x:c>
      <x:c r="B8" s="52" t="n">
        <x:f>SUM(daily_production!C2:C101)</x:f>
        <x:v>40222809</x:v>
      </x:c>
      <x:c r="D8" s="57" t="str">
        <x:f>weekly_report!H5</x:f>
        <x:v>Jordan</x:v>
      </x:c>
      <x:c r="E8" s="73" t="n">
        <x:f>weekly_report!I5</x:f>
        <x:v>3290000</x:v>
      </x:c>
      <x:c r="F8" s="79" t="n">
        <x:f>E8*64</x:f>
        <x:v>210560000</x:v>
      </x:c>
      <x:c r="G8" s="79" t="n">
        <x:f>weekly_report!P5</x:f>
        <x:v>249513599.99999997</x:v>
      </x:c>
      <x:c r="H8" s="59" t="str">
        <x:f>weekly_report!J5</x:f>
        <x:v>Jordan Petroleum Co</x:v>
      </x:c>
      <x:c r="J8" t="str">
        <x:f>daily_production!H5</x:f>
        <x:v>Jet Fuel</x:v>
      </x:c>
      <x:c r="K8" s="16" t="n">
        <x:f>daily_production!I5</x:f>
        <x:v>8605914</x:v>
      </x:c>
    </x:row>
    <x:row r="9">
      <x:c r="A9" s="38" t="str">
        <x:v>Top Export Country</x:v>
      </x:c>
      <x:c r="B9" s="39" t="str">
        <x:f>INDEX(weekly_report!H2:H8,MATCH(MAX(weekly_report!I2:I8),weekly_report!I2:I8,0))</x:f>
        <x:v>Australia</x:v>
      </x:c>
      <x:c r="D9" s="57" t="str">
        <x:f>weekly_report!H6</x:f>
        <x:v>Norway</x:v>
      </x:c>
      <x:c r="E9" s="73" t="n">
        <x:f>weekly_report!I6</x:f>
        <x:v>4130299</x:v>
      </x:c>
      <x:c r="F9" s="79" t="n">
        <x:f>E9*64</x:f>
        <x:v>264339136</x:v>
      </x:c>
      <x:c r="G9" s="79" t="n">
        <x:f>weekly_report!P6</x:f>
        <x:v>333860328.76799995</x:v>
      </x:c>
      <x:c r="H9" s="59" t="str">
        <x:f>weekly_report!J6</x:f>
        <x:v>Norway Oil Export, China Petro Export</x:v>
      </x:c>
      <x:c r="J9" t="str">
        <x:f>daily_production!H6</x:f>
        <x:v>LPG</x:v>
      </x:c>
      <x:c r="K9" s="16" t="n">
        <x:f>daily_production!I6</x:f>
        <x:v>5953139</x:v>
      </x:c>
    </x:row>
    <x:row r="10">
      <x:c r="D10" s="57" t="str">
        <x:f>weekly_report!H7</x:f>
        <x:v>South Korea</x:v>
      </x:c>
      <x:c r="E10" s="73" t="n">
        <x:f>weekly_report!I7</x:f>
        <x:v>3570000</x:v>
      </x:c>
      <x:c r="F10" s="79" t="n">
        <x:f>E10*64</x:f>
        <x:v>228480000</x:v>
      </x:c>
      <x:c r="G10" s="79" t="n">
        <x:f>weekly_report!P7</x:f>
        <x:v>257953920</x:v>
      </x:c>
      <x:c r="H10" s="59" t="str">
        <x:f>weekly_report!J7</x:f>
        <x:v>Korea Energy Corp</x:v>
      </x:c>
      <x:c r="J10" t="str">
        <x:f>daily_production!H7</x:f>
        <x:v>Refinery Gas</x:v>
      </x:c>
      <x:c r="K10" s="16" t="n">
        <x:f>daily_production!I7</x:f>
        <x:v>7394778</x:v>
      </x:c>
    </x:row>
    <x:row r="11">
      <x:c r="D11" s="60" t="str">
        <x:f>weekly_report!H8</x:f>
        <x:v>Turkey</x:v>
      </x:c>
      <x:c r="E11" s="74" t="n">
        <x:f>weekly_report!I8</x:f>
        <x:v>3530000</x:v>
      </x:c>
      <x:c r="F11" s="80" t="n">
        <x:f>E11*64</x:f>
        <x:v>225920000</x:v>
      </x:c>
      <x:c r="G11" s="80" t="n">
        <x:f>weekly_report!P8</x:f>
        <x:v>225920000</x:v>
      </x:c>
      <x:c r="H11" s="62" t="str">
        <x:f>weekly_report!J8</x:f>
        <x:v>Turkish Energy A.S.</x:v>
      </x:c>
    </x:row>
    <x:row r="12">
      <x:c r="A12" s="86" t="str">
        <x:v>Expense Item</x:v>
      </x:c>
      <x:c r="B12" s="86" t="str">
        <x:v>Quarterly Amount</x:v>
      </x:c>
    </x:row>
    <x:row r="13">
      <x:c r="A13" t="str">
        <x:v>Employee salaries</x:v>
      </x:c>
      <x:c r="B13" s="10" t="n">
        <x:v>600000</x:v>
      </x:c>
      <x:c r="J13" s="104" t="str">
        <x:v>Job Type</x:v>
      </x:c>
      <x:c r="K13" s="104" t="str">
        <x:v>Employees</x:v>
      </x:c>
    </x:row>
    <x:row r="14">
      <x:c r="A14" t="str">
        <x:v>Maintenance cost</x:v>
      </x:c>
      <x:c r="B14" s="10" t="n">
        <x:v>2580000</x:v>
      </x:c>
      <x:c r="J14" t="str">
        <x:f>employee!M2</x:f>
        <x:v>Technician</x:v>
      </x:c>
      <x:c r="K14" s="16" t="n">
        <x:f>employee!N2</x:f>
        <x:v>24</x:v>
      </x:c>
    </x:row>
    <x:row r="15">
      <x:c r="A15" t="str">
        <x:v>Electricity bill</x:v>
      </x:c>
      <x:c r="B15" s="10" t="n">
        <x:v>33000</x:v>
      </x:c>
      <x:c r="J15" t="str">
        <x:f>employee!M3</x:f>
        <x:v>Digger</x:v>
      </x:c>
      <x:c r="K15" s="16" t="n">
        <x:f>employee!N3</x:f>
        <x:v>26</x:v>
      </x:c>
    </x:row>
    <x:row r="16">
      <x:c r="A16" s="91" t="str">
        <x:v>Total Expenses</x:v>
      </x:c>
      <x:c r="B16" s="94" t="n">
        <x:f>SUM(B13:B15)</x:f>
        <x:v>3213000</x:v>
      </x:c>
      <x:c r="J16" t="str">
        <x:f>employee!M4</x:f>
        <x:v>Engineer</x:v>
      </x:c>
      <x:c r="K16" s="16" t="n">
        <x:f>employee!N4</x:f>
        <x:v>26</x:v>
      </x:c>
    </x:row>
    <x:row r="17">
      <x:c r="J17" t="str">
        <x:f>employee!M5</x:f>
        <x:v>Admin</x:v>
      </x:c>
      <x:c r="K17" s="16" t="n">
        <x:f>employee!N5</x:f>
        <x:v>22</x:v>
      </x:c>
    </x:row>
    <x:row r="18">
      <x:c r="J18" t="str">
        <x:f>employee!M6</x:f>
        <x:v>Driver</x:v>
      </x:c>
      <x:c r="K18" s="16" t="n">
        <x:f>employee!N6</x:f>
        <x:v>22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3f54fcb60d4408b"/>
  <x:tableParts count="4">
    <x:tablePart xmlns:r="http://schemas.openxmlformats.org/officeDocument/2006/relationships" r:id="R30bea4e6f55d4546"/>
    <x:tablePart xmlns:r="http://schemas.openxmlformats.org/officeDocument/2006/relationships" r:id="Ref6c63bc81dc46d6"/>
    <x:tablePart xmlns:r="http://schemas.openxmlformats.org/officeDocument/2006/relationships" r:id="R4e1c71f034ec4ee2"/>
    <x:tablePart xmlns:r="http://schemas.openxmlformats.org/officeDocument/2006/relationships" r:id="R91adcfaa00f142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39.16999816894531" hidden="0" customWidth="1"/>
    <x:col min="3" max="3" width="9.6899995803833" hidden="0" customWidth="1"/>
    <x:col min="4" max="4" width="6.860000133514404" hidden="0" customWidth="1"/>
    <x:col min="5" max="5" width="17.899999618530273" hidden="0" customWidth="1"/>
    <x:col min="6" max="6" width="9.149999618530273" hidden="0" customWidth="1"/>
    <x:col min="7" max="7" width="18.299999237060547" hidden="0" customWidth="1"/>
    <x:col min="8" max="8" width="9.6899995803833" hidden="0" customWidth="1"/>
    <x:col min="9" max="9" width="21.670000076293945" hidden="0" customWidth="1"/>
    <x:col min="10" max="10" width="30.420000076293945" hidden="0" customWidth="1"/>
    <x:col min="11" max="11" width="8.210000038146973" hidden="0" customWidth="1"/>
    <x:col min="12" max="12" width="7.269999980926514" hidden="0" customWidth="1"/>
    <x:col min="13" max="13" width="8.880000114440918" hidden="0" customWidth="1"/>
    <x:col min="14" max="14" width="3.359999895095825" hidden="0" customWidth="1"/>
    <x:col min="15" max="15" width="6.860000133514404" hidden="0" customWidth="1"/>
    <x:col min="16" max="16" width="10.359999656677246" hidden="0" customWidth="1"/>
    <x:col min="17" max="17" width="8.880000114440918" hidden="0" customWidth="1"/>
    <x:col min="18" max="18" width="16.020000457763672" hidden="0" customWidth="1"/>
    <x:col min="19" max="19" width="9.960000038146973" hidden="0" customWidth="1"/>
  </x:cols>
  <x:sheetData>
    <x:row r="1">
      <x:c r="A1" s="4" t="str">
        <x:v>oilName</x:v>
      </x:c>
      <x:c r="B1" s="4" t="str">
        <x:v>usageDescription</x:v>
      </x:c>
      <x:c r="C1" s="4" t="str">
        <x:v>Country</x:v>
      </x:c>
      <x:c r="D1" s="4" t="str">
        <x:v>quantity</x:v>
      </x:c>
      <x:c r="E1" s="4" t="str">
        <x:v>exportCompanyName</x:v>
      </x:c>
      <x:c r="F1" s="4" t="str">
        <x:v>exportDate</x:v>
      </x:c>
      <x:c r="G1" s="4" t="str">
        <x:v>CompanyAbbreviation</x:v>
      </x:c>
      <x:c r="H1" s="4" t="str">
        <x:v>Country </x:v>
      </x:c>
      <x:c r="I1" s="4" t="str">
        <x:v>Total  quantity per country</x:v>
      </x:c>
      <x:c r="J1" s="4" t="str">
        <x:v>Companies</x:v>
      </x:c>
      <x:c r="K1" s="4" t="str">
        <x:v>Start Date</x:v>
      </x:c>
      <x:c r="L1" s="4" t="str">
        <x:v>End Date</x:v>
      </x:c>
      <x:c r="M1" s="4" t="str">
        <x:v>BarrelPrice</x:v>
      </x:c>
      <x:c r="N1" s="4" t="str">
        <x:v>GST</x:v>
      </x:c>
      <x:c r="O1" s="4" t="str">
        <x:v>Customs</x:v>
      </x:c>
      <x:c r="P1" s="4" t="str">
        <x:v>TotalPrice</x:v>
      </x:c>
      <x:c r="Q1" s="4" t="str">
        <x:v>Revenue</x:v>
      </x:c>
      <x:c r="R1" s="4" t="str">
        <x:v>Total Revenue table</x:v>
      </x:c>
      <x:c r="S1" s="4" t="str">
        <x:v>Amount:</x:v>
      </x:c>
    </x:row>
    <x:row r="2">
      <x:c r="A2" t="str">
        <x:v>Gasoline</x:v>
      </x:c>
      <x:c r="B2" t="str">
        <x:v>Motor gasoline for internal combustion engines</x:v>
      </x:c>
      <x:c r="C2" t="str">
        <x:v>Australia</x:v>
      </x:c>
      <x:c r="D2" t="n">
        <x:v>650000</x:v>
      </x:c>
      <x:c r="E2" t="str">
        <x:v>AUS Energy Pty</x:v>
      </x:c>
      <x:c r="F2" s="8" t="n">
        <x:v>45966</x:v>
      </x:c>
      <x:c r="G2" t="str">
        <x:v>AEP</x:v>
      </x:c>
      <x:c r="H2" t="str">
        <x:v>Australia</x:v>
      </x:c>
      <x:c r="I2" t="n">
        <x:v>4160000</x:v>
      </x:c>
      <x:c r="J2" t="str">
        <x:v>AUS Energy Pty</x:v>
      </x:c>
      <x:c r="K2" s="8" t="n">
        <x:v>45966</x:v>
      </x:c>
      <x:c r="L2" s="8" t="n">
        <x:v>46006</x:v>
      </x:c>
      <x:c r="M2" s="10" t="n">
        <x:v>266240000</x:v>
      </x:c>
      <x:c r="N2" s="12" t="n">
        <x:v>0.1</x:v>
      </x:c>
      <x:c r="O2" s="12" t="n">
        <x:v>0.032</x:v>
      </x:c>
      <x:c r="P2" s="10" t="n">
        <x:v>301383680.00000006</x:v>
      </x:c>
      <x:c r="Q2" s="10" t="n">
        <x:v>266240000</x:v>
      </x:c>
      <x:c r="R2" t="str">
        <x:v>Total Revenue:</x:v>
      </x:c>
      <x:c r="S2" s="10" t="n">
        <x:v>1632659136</x:v>
      </x:c>
    </x:row>
    <x:row r="3">
      <x:c r="A3" t="str">
        <x:v>Gasoline</x:v>
      </x:c>
      <x:c r="B3" t="str">
        <x:v>Motor gasoline for internal combustion engines</x:v>
      </x:c>
      <x:c r="C3" t="str">
        <x:v>Norway</x:v>
      </x:c>
      <x:c r="D3" t="n">
        <x:v>680000</x:v>
      </x:c>
      <x:c r="E3" t="str">
        <x:v>Norway Oil Export</x:v>
      </x:c>
      <x:c r="F3" s="8" t="n">
        <x:v>45972</x:v>
      </x:c>
      <x:c r="G3" t="str">
        <x:v>NOE</x:v>
      </x:c>
      <x:c r="H3" t="str">
        <x:v>China</x:v>
      </x:c>
      <x:c r="I3" t="n">
        <x:v>3470000</x:v>
      </x:c>
      <x:c r="J3" t="str">
        <x:v>China Petro Export, Sino Export Ltd</x:v>
      </x:c>
      <x:c r="K3" s="8" t="n">
        <x:v>45967</x:v>
      </x:c>
      <x:c r="L3" s="8" t="n">
        <x:v>46000</x:v>
      </x:c>
      <x:c r="M3" s="10" t="n">
        <x:v>222080000</x:v>
      </x:c>
      <x:c r="N3" s="12" t="n">
        <x:v>0.13</x:v>
      </x:c>
      <x:c r="O3" s="12" t="n">
        <x:v>0.012</x:v>
      </x:c>
      <x:c r="P3" s="10" t="n">
        <x:v>253615359.99999997</x:v>
      </x:c>
      <x:c r="Q3" s="10" t="n">
        <x:v>222080000</x:v>
      </x:c>
      <x:c r="R3" t="str">
        <x:v>Total Expenses:</x:v>
      </x:c>
      <x:c r="S3" s="10" t="n">
        <x:v>3213000</x:v>
      </x:c>
    </x:row>
    <x:row r="4">
      <x:c r="A4" t="str">
        <x:v>Gasoline</x:v>
      </x:c>
      <x:c r="B4" t="str">
        <x:v>Motor gasoline for internal combustion engines</x:v>
      </x:c>
      <x:c r="C4" t="str">
        <x:v>Turkey</x:v>
      </x:c>
      <x:c r="D4" t="n">
        <x:v>690000</x:v>
      </x:c>
      <x:c r="E4" t="str">
        <x:v>Turkish Energy A.S.</x:v>
      </x:c>
      <x:c r="F4" s="8" t="n">
        <x:v>45978</x:v>
      </x:c>
      <x:c r="G4" t="str">
        <x:v>TEA</x:v>
      </x:c>
      <x:c r="H4" t="str">
        <x:v>Japan</x:v>
      </x:c>
      <x:c r="I4" t="n">
        <x:v>3360000</x:v>
      </x:c>
      <x:c r="J4" t="str">
        <x:v>Japan Oil Trading</x:v>
      </x:c>
      <x:c r="K4" s="8" t="n">
        <x:v>45968</x:v>
      </x:c>
      <x:c r="L4" s="8" t="n">
        <x:v>46001</x:v>
      </x:c>
      <x:c r="M4" s="10" t="n">
        <x:v>215040000</x:v>
      </x:c>
      <x:c r="N4" s="12" t="n">
        <x:v>0.1</x:v>
      </x:c>
      <x:c r="O4" s="12" t="n">
        <x:v>0.022000000000000002</x:v>
      </x:c>
      <x:c r="P4" s="10" t="n">
        <x:v>241274880.00000003</x:v>
      </x:c>
      <x:c r="Q4" s="10" t="n">
        <x:v>215040000</x:v>
      </x:c>
      <x:c r="R4" t="str">
        <x:v>Profit:</x:v>
      </x:c>
      <x:c r="S4" s="10" t="n">
        <x:v>1629446136</x:v>
      </x:c>
    </x:row>
    <x:row r="5">
      <x:c r="A5" t="str">
        <x:v>Gasoline</x:v>
      </x:c>
      <x:c r="B5" t="str">
        <x:v>Motor gasoline for internal combustion engines</x:v>
      </x:c>
      <x:c r="C5" t="str">
        <x:v>Jordan</x:v>
      </x:c>
      <x:c r="D5" t="n">
        <x:v>640000</x:v>
      </x:c>
      <x:c r="E5" t="str">
        <x:v>Jordan Petroleum Co</x:v>
      </x:c>
      <x:c r="F5" s="8" t="n">
        <x:v>45984</x:v>
      </x:c>
      <x:c r="G5" t="str">
        <x:v>JPC</x:v>
      </x:c>
      <x:c r="H5" t="str">
        <x:v>Jordan</x:v>
      </x:c>
      <x:c r="I5" t="n">
        <x:v>3290000</x:v>
      </x:c>
      <x:c r="J5" t="str">
        <x:v>Jordan Petroleum Co</x:v>
      </x:c>
      <x:c r="K5" s="8" t="n">
        <x:v>45970</x:v>
      </x:c>
      <x:c r="L5" s="8" t="n">
        <x:v>46003</x:v>
      </x:c>
      <x:c r="M5" s="10" t="n">
        <x:v>210560000</x:v>
      </x:c>
      <x:c r="N5" s="12" t="n">
        <x:v>0.16</x:v>
      </x:c>
      <x:c r="O5" s="12" t="n">
        <x:v>0.025</x:v>
      </x:c>
      <x:c r="P5" s="10" t="n">
        <x:v>249513599.99999997</x:v>
      </x:c>
      <x:c r="Q5" s="10" t="n">
        <x:v>210560000</x:v>
      </x:c>
      <x:c r="R5"/>
      <x:c r="S5"/>
    </x:row>
    <x:row r="6">
      <x:c r="A6" t="str">
        <x:v>Gasoline</x:v>
      </x:c>
      <x:c r="B6" t="str">
        <x:v>Motor gasoline for internal combustion engines</x:v>
      </x:c>
      <x:c r="C6" t="str">
        <x:v>South Korea</x:v>
      </x:c>
      <x:c r="D6" t="n">
        <x:v>670000</x:v>
      </x:c>
      <x:c r="E6" t="str">
        <x:v>Korea Energy Corp</x:v>
      </x:c>
      <x:c r="F6" s="8" t="n">
        <x:v>45995</x:v>
      </x:c>
      <x:c r="G6" t="str">
        <x:v>KEC</x:v>
      </x:c>
      <x:c r="H6" t="str">
        <x:v>Norway</x:v>
      </x:c>
      <x:c r="I6" t="n">
        <x:v>4130299</x:v>
      </x:c>
      <x:c r="J6" t="str">
        <x:v>Norway Oil Export, China Petro Export</x:v>
      </x:c>
      <x:c r="K6" s="8" t="n">
        <x:v>45972</x:v>
      </x:c>
      <x:c r="L6" s="8" t="n">
        <x:v>46011</x:v>
      </x:c>
      <x:c r="M6" s="10" t="n">
        <x:v>264339136</x:v>
      </x:c>
      <x:c r="N6" s="12" t="n">
        <x:v>0.25</x:v>
      </x:c>
      <x:c r="O6" s="12" t="n">
        <x:v>0.013000000000000001</x:v>
      </x:c>
      <x:c r="P6" s="10" t="n">
        <x:v>333860328.76799995</x:v>
      </x:c>
      <x:c r="Q6" s="10" t="n">
        <x:v>264339136</x:v>
      </x:c>
      <x:c r="R6"/>
      <x:c r="S6"/>
    </x:row>
    <x:row r="7">
      <x:c r="A7" t="str">
        <x:v>Gasoline</x:v>
      </x:c>
      <x:c r="B7" t="str">
        <x:v>Motor gasoline for internal combustion engines</x:v>
      </x:c>
      <x:c r="C7" t="str">
        <x:v>Japan</x:v>
      </x:c>
      <x:c r="D7" t="n">
        <x:v>660000</x:v>
      </x:c>
      <x:c r="E7" t="str">
        <x:v>Japan Oil Trading</x:v>
      </x:c>
      <x:c r="F7" s="8" t="n">
        <x:v>46001</x:v>
      </x:c>
      <x:c r="G7" t="str">
        <x:v>JOT</x:v>
      </x:c>
      <x:c r="H7" t="str">
        <x:v>South Korea</x:v>
      </x:c>
      <x:c r="I7" t="n">
        <x:v>3570000</x:v>
      </x:c>
      <x:c r="J7" t="str">
        <x:v>Korea Energy Corp</x:v>
      </x:c>
      <x:c r="K7" s="8" t="n">
        <x:v>45969</x:v>
      </x:c>
      <x:c r="L7" s="8" t="n">
        <x:v>46002</x:v>
      </x:c>
      <x:c r="M7" s="10" t="n">
        <x:v>228480000</x:v>
      </x:c>
      <x:c r="N7" s="12" t="n">
        <x:v>0.12</x:v>
      </x:c>
      <x:c r="O7" s="12" t="n">
        <x:v>0.009000000000000001</x:v>
      </x:c>
      <x:c r="P7" s="10" t="n">
        <x:v>257953920</x:v>
      </x:c>
      <x:c r="Q7" s="10" t="n">
        <x:v>228480000</x:v>
      </x:c>
      <x:c r="R7"/>
      <x:c r="S7"/>
    </x:row>
    <x:row r="8">
      <x:c r="A8" t="str">
        <x:v>Diesel</x:v>
      </x:c>
      <x:c r="B8" t="str">
        <x:v>Heavy-duty vehicles and heating</x:v>
      </x:c>
      <x:c r="C8" t="str">
        <x:v>China</x:v>
      </x:c>
      <x:c r="D8" t="n">
        <x:v>720000</x:v>
      </x:c>
      <x:c r="E8" t="str">
        <x:v>China Petro Export</x:v>
      </x:c>
      <x:c r="F8" s="8" t="n">
        <x:v>45967</x:v>
      </x:c>
      <x:c r="G8" t="str">
        <x:v>CPE</x:v>
      </x:c>
      <x:c r="H8" t="str">
        <x:v>Turkey</x:v>
      </x:c>
      <x:c r="I8" t="n">
        <x:v>3530000</x:v>
      </x:c>
      <x:c r="J8" t="str">
        <x:v>Turkish Energy A.S.</x:v>
      </x:c>
      <x:c r="K8" s="8" t="n">
        <x:v>45971</x:v>
      </x:c>
      <x:c r="L8" s="8" t="n">
        <x:v>46004</x:v>
      </x:c>
      <x:c r="M8" s="10" t="n">
        <x:v>225920000</x:v>
      </x:c>
      <x:c r="N8" s="12" t="n">
        <x:v>0</x:v>
      </x:c>
      <x:c r="O8" s="12" t="n">
        <x:v>0</x:v>
      </x:c>
      <x:c r="P8" s="10" t="n">
        <x:v>225920000</x:v>
      </x:c>
      <x:c r="Q8" s="10" t="n">
        <x:v>225920000</x:v>
      </x:c>
      <x:c r="R8"/>
      <x:c r="S8"/>
    </x:row>
    <x:row r="9">
      <x:c r="A9" t="str">
        <x:v>Diesel</x:v>
      </x:c>
      <x:c r="B9" t="str">
        <x:v>Heavy-duty vehicles and heating</x:v>
      </x:c>
      <x:c r="C9" t="str">
        <x:v>Australia</x:v>
      </x:c>
      <x:c r="D9" t="n">
        <x:v>700000</x:v>
      </x:c>
      <x:c r="E9" t="str">
        <x:v>AUS Energy Pty</x:v>
      </x:c>
      <x:c r="F9" s="8" t="n">
        <x:v>45973</x:v>
      </x:c>
      <x:c r="G9" t="str">
        <x:v>AEP</x:v>
      </x:c>
      <x:c r="H9"/>
      <x:c r="I9"/>
      <x:c r="J9"/>
      <x:c r="K9"/>
      <x:c r="L9"/>
      <x:c r="M9"/>
      <x:c r="N9"/>
      <x:c r="O9"/>
      <x:c r="P9"/>
      <x:c r="Q9"/>
      <x:c r="R9"/>
      <x:c r="S9"/>
    </x:row>
    <x:row r="10">
      <x:c r="A10" t="str">
        <x:v>Diesel</x:v>
      </x:c>
      <x:c r="B10" t="str">
        <x:v>Heavy-duty vehicles and heating</x:v>
      </x:c>
      <x:c r="C10" t="str">
        <x:v>Norway</x:v>
      </x:c>
      <x:c r="D10" t="n">
        <x:v>740000</x:v>
      </x:c>
      <x:c r="E10" t="str">
        <x:v>Norway Oil Export</x:v>
      </x:c>
      <x:c r="F10" s="8" t="n">
        <x:v>45979</x:v>
      </x:c>
      <x:c r="G10" t="str">
        <x:v>NOE</x:v>
      </x:c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t="str">
        <x:v>Diesel</x:v>
      </x:c>
      <x:c r="B11" t="str">
        <x:v>Heavy-duty vehicles and heating</x:v>
      </x:c>
      <x:c r="C11" t="str">
        <x:v>Turkey</x:v>
      </x:c>
      <x:c r="D11" t="n">
        <x:v>710000</x:v>
      </x:c>
      <x:c r="E11" t="str">
        <x:v>Turkish Energy A.S.</x:v>
      </x:c>
      <x:c r="F11" s="8" t="n">
        <x:v>45985</x:v>
      </x:c>
      <x:c r="G11" t="str">
        <x:v>TEA</x:v>
      </x:c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>
      <x:c r="A12" t="str">
        <x:v>Diesel</x:v>
      </x:c>
      <x:c r="B12" t="str">
        <x:v>Heavy-duty vehicles and heating</x:v>
      </x:c>
      <x:c r="C12" t="str">
        <x:v>Jordan</x:v>
      </x:c>
      <x:c r="D12" t="n">
        <x:v>730000</x:v>
      </x:c>
      <x:c r="E12" t="str">
        <x:v>Jordan Petroleum Co</x:v>
      </x:c>
      <x:c r="F12" s="8" t="n">
        <x:v>45996</x:v>
      </x:c>
      <x:c r="G12" t="str">
        <x:v>JPC</x:v>
      </x:c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t="str">
        <x:v>Diesel</x:v>
      </x:c>
      <x:c r="B13" t="str">
        <x:v>Heavy-duty vehicles and heating</x:v>
      </x:c>
      <x:c r="C13" t="str">
        <x:v>South Korea</x:v>
      </x:c>
      <x:c r="D13" t="n">
        <x:v>720000</x:v>
      </x:c>
      <x:c r="E13" t="str">
        <x:v>Korea Energy Corp</x:v>
      </x:c>
      <x:c r="F13" s="8" t="n">
        <x:v>46002</x:v>
      </x:c>
      <x:c r="G13" t="str">
        <x:v>KEC</x:v>
      </x:c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t="str">
        <x:v>Jet Fuel</x:v>
      </x:c>
      <x:c r="B14" t="str">
        <x:v>Aviation kerosene fuel</x:v>
      </x:c>
      <x:c r="C14" t="str">
        <x:v>Norway</x:v>
      </x:c>
      <x:c r="D14" t="n">
        <x:v>710299</x:v>
      </x:c>
      <x:c r="E14" t="str">
        <x:v>China Petro Export</x:v>
      </x:c>
      <x:c r="F14" s="8" t="n">
        <x:v>46011</x:v>
      </x:c>
      <x:c r="G14" t="str">
        <x:v>CPE</x:v>
      </x:c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t="str">
        <x:v>Jet Fuel</x:v>
      </x:c>
      <x:c r="B15" t="str">
        <x:v>Aviation kerosene fuel</x:v>
      </x:c>
      <x:c r="C15" t="str">
        <x:v>Japan</x:v>
      </x:c>
      <x:c r="D15" t="n">
        <x:v>500000</x:v>
      </x:c>
      <x:c r="E15" t="str">
        <x:v>Japan Oil Trading</x:v>
      </x:c>
      <x:c r="F15" s="8" t="n">
        <x:v>45968</x:v>
      </x:c>
      <x:c r="G15" t="str">
        <x:v>JOT</x:v>
      </x:c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t="str">
        <x:v>Jet Fuel</x:v>
      </x:c>
      <x:c r="B16" t="str">
        <x:v>Aviation kerosene fuel</x:v>
      </x:c>
      <x:c r="C16" t="str">
        <x:v>China</x:v>
      </x:c>
      <x:c r="D16" t="n">
        <x:v>520000</x:v>
      </x:c>
      <x:c r="E16" t="str">
        <x:v>Sino Export Ltd</x:v>
      </x:c>
      <x:c r="F16" s="8" t="n">
        <x:v>45974</x:v>
      </x:c>
      <x:c r="G16" t="str">
        <x:v>SEL</x:v>
      </x:c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t="str">
        <x:v>Jet Fuel</x:v>
      </x:c>
      <x:c r="B17" t="str">
        <x:v>Aviation kerosene fuel</x:v>
      </x:c>
      <x:c r="C17" t="str">
        <x:v>Australia</x:v>
      </x:c>
      <x:c r="D17" t="n">
        <x:v>560000</x:v>
      </x:c>
      <x:c r="E17" t="str">
        <x:v>AUS Energy Pty</x:v>
      </x:c>
      <x:c r="F17" s="8" t="n">
        <x:v>45980</x:v>
      </x:c>
      <x:c r="G17" t="str">
        <x:v>AEP</x:v>
      </x:c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t="str">
        <x:v>Jet Fuel</x:v>
      </x:c>
      <x:c r="B18" t="str">
        <x:v>Aviation kerosene fuel</x:v>
      </x:c>
      <x:c r="C18" t="str">
        <x:v>Norway</x:v>
      </x:c>
      <x:c r="D18" t="n">
        <x:v>530000</x:v>
      </x:c>
      <x:c r="E18" t="str">
        <x:v>Norway Oil Export</x:v>
      </x:c>
      <x:c r="F18" s="8" t="n">
        <x:v>45986</x:v>
      </x:c>
      <x:c r="G18" t="str">
        <x:v>NOE</x:v>
      </x:c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 t="str">
        <x:v>Jet Fuel</x:v>
      </x:c>
      <x:c r="B19" t="str">
        <x:v>Aviation kerosene fuel</x:v>
      </x:c>
      <x:c r="C19" t="str">
        <x:v>Turkey</x:v>
      </x:c>
      <x:c r="D19" t="n">
        <x:v>540000</x:v>
      </x:c>
      <x:c r="E19" t="str">
        <x:v>Turkish Energy A.S.</x:v>
      </x:c>
      <x:c r="F19" s="8" t="n">
        <x:v>45997</x:v>
      </x:c>
      <x:c r="G19" t="str">
        <x:v>TEA</x:v>
      </x:c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>
      <x:c r="A20" t="str">
        <x:v>Jet Fuel</x:v>
      </x:c>
      <x:c r="B20" t="str">
        <x:v>Aviation kerosene fuel</x:v>
      </x:c>
      <x:c r="C20" t="str">
        <x:v>Jordan</x:v>
      </x:c>
      <x:c r="D20" t="n">
        <x:v>550000</x:v>
      </x:c>
      <x:c r="E20" t="str">
        <x:v>Jordan Petroleum Co</x:v>
      </x:c>
      <x:c r="F20" s="8" t="n">
        <x:v>46003</x:v>
      </x:c>
      <x:c r="G20" t="str">
        <x:v>JPC</x:v>
      </x:c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t="str">
        <x:v>Heating Oil</x:v>
      </x:c>
      <x:c r="B21" t="str">
        <x:v>Residential and industrial heating</x:v>
      </x:c>
      <x:c r="C21" t="str">
        <x:v>South Korea</x:v>
      </x:c>
      <x:c r="D21" t="n">
        <x:v>810000</x:v>
      </x:c>
      <x:c r="E21" t="str">
        <x:v>Korea Energy Corp</x:v>
      </x:c>
      <x:c r="F21" s="8" t="n">
        <x:v>45969</x:v>
      </x:c>
      <x:c r="G21" t="str">
        <x:v>KEC</x:v>
      </x:c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t="str">
        <x:v>Heating Oil</x:v>
      </x:c>
      <x:c r="B22" t="str">
        <x:v>Residential and industrial heating</x:v>
      </x:c>
      <x:c r="C22" t="str">
        <x:v>Japan</x:v>
      </x:c>
      <x:c r="D22" t="n">
        <x:v>830000</x:v>
      </x:c>
      <x:c r="E22" t="str">
        <x:v>Japan Oil Trading</x:v>
      </x:c>
      <x:c r="F22" s="8" t="n">
        <x:v>45975</x:v>
      </x:c>
      <x:c r="G22" t="str">
        <x:v>JOT</x:v>
      </x:c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t="str">
        <x:v>Heating Oil</x:v>
      </x:c>
      <x:c r="B23" t="str">
        <x:v>Residential and industrial heating</x:v>
      </x:c>
      <x:c r="C23" t="str">
        <x:v>China</x:v>
      </x:c>
      <x:c r="D23" t="n">
        <x:v>820000</x:v>
      </x:c>
      <x:c r="E23" t="str">
        <x:v>China Petro Export</x:v>
      </x:c>
      <x:c r="F23" s="8" t="n">
        <x:v>45981</x:v>
      </x:c>
      <x:c r="G23" t="str">
        <x:v>CPE</x:v>
      </x:c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t="str">
        <x:v>Heating Oil</x:v>
      </x:c>
      <x:c r="B24" t="str">
        <x:v>Residential and industrial heating</x:v>
      </x:c>
      <x:c r="C24" t="str">
        <x:v>Australia</x:v>
      </x:c>
      <x:c r="D24" t="n">
        <x:v>850000</x:v>
      </x:c>
      <x:c r="E24" t="str">
        <x:v>AUS Energy Pty</x:v>
      </x:c>
      <x:c r="F24" s="8" t="n">
        <x:v>45992</x:v>
      </x:c>
      <x:c r="G24" t="str">
        <x:v>AEP</x:v>
      </x:c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t="str">
        <x:v>Heating Oil</x:v>
      </x:c>
      <x:c r="B25" t="str">
        <x:v>Residential and industrial heating</x:v>
      </x:c>
      <x:c r="C25" t="str">
        <x:v>Norway</x:v>
      </x:c>
      <x:c r="D25" t="n">
        <x:v>860000</x:v>
      </x:c>
      <x:c r="E25" t="str">
        <x:v>Norway Oil Export</x:v>
      </x:c>
      <x:c r="F25" s="8" t="n">
        <x:v>45998</x:v>
      </x:c>
      <x:c r="G25" t="str">
        <x:v>NOE</x:v>
      </x:c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t="str">
        <x:v>Heating Oil</x:v>
      </x:c>
      <x:c r="B26" t="str">
        <x:v>Residential and industrial heating</x:v>
      </x:c>
      <x:c r="C26" t="str">
        <x:v>Turkey</x:v>
      </x:c>
      <x:c r="D26" t="n">
        <x:v>840000</x:v>
      </x:c>
      <x:c r="E26" t="str">
        <x:v>Turkish Energy A.S.</x:v>
      </x:c>
      <x:c r="F26" s="8" t="n">
        <x:v>46004</x:v>
      </x:c>
      <x:c r="G26" t="str">
        <x:v>TEA</x:v>
      </x:c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 t="str">
        <x:v>LPG</x:v>
      </x:c>
      <x:c r="B27" t="str">
        <x:v>Liquefied petroleum gas â€“ propane and butane</x:v>
      </x:c>
      <x:c r="C27" t="str">
        <x:v>Jordan</x:v>
      </x:c>
      <x:c r="D27" t="n">
        <x:v>600000</x:v>
      </x:c>
      <x:c r="E27" t="str">
        <x:v>Jordan Petroleum Co</x:v>
      </x:c>
      <x:c r="F27" s="8" t="n">
        <x:v>45970</x:v>
      </x:c>
      <x:c r="G27" t="str">
        <x:v>JPC</x:v>
      </x:c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t="str">
        <x:v>LPG</x:v>
      </x:c>
      <x:c r="B28" t="str">
        <x:v>Liquefied petroleum gas â€“ propane and butane</x:v>
      </x:c>
      <x:c r="C28" t="str">
        <x:v>South Korea</x:v>
      </x:c>
      <x:c r="D28" t="n">
        <x:v>610000</x:v>
      </x:c>
      <x:c r="E28" t="str">
        <x:v>Korea Energy Corp</x:v>
      </x:c>
      <x:c r="F28" s="8" t="n">
        <x:v>45976</x:v>
      </x:c>
      <x:c r="G28" t="str">
        <x:v>KEC</x:v>
      </x:c>
      <x:c r="H28"/>
      <x:c r="I28"/>
      <x:c r="J28"/>
      <x:c r="K28"/>
      <x:c r="L28"/>
      <x:c r="M28"/>
      <x:c r="N28"/>
      <x:c r="O28"/>
      <x:c r="P28"/>
      <x:c r="Q28"/>
      <x:c r="R28"/>
      <x:c r="S28"/>
    </x:row>
    <x:row r="29">
      <x:c r="A29" t="str">
        <x:v>LPG</x:v>
      </x:c>
      <x:c r="B29" t="str">
        <x:v>Liquefied petroleum gas â€“ propane and butane</x:v>
      </x:c>
      <x:c r="C29" t="str">
        <x:v>Japan</x:v>
      </x:c>
      <x:c r="D29" t="n">
        <x:v>590000</x:v>
      </x:c>
      <x:c r="E29" t="str">
        <x:v>Japan Oil Trading</x:v>
      </x:c>
      <x:c r="F29" s="8" t="n">
        <x:v>45982</x:v>
      </x:c>
      <x:c r="G29" t="str">
        <x:v>JOT</x:v>
      </x:c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 t="str">
        <x:v>LPG</x:v>
      </x:c>
      <x:c r="B30" t="str">
        <x:v>Liquefied petroleum gas â€“ propane and butane</x:v>
      </x:c>
      <x:c r="C30" t="str">
        <x:v>China</x:v>
      </x:c>
      <x:c r="D30" t="n">
        <x:v>620000</x:v>
      </x:c>
      <x:c r="E30" t="str">
        <x:v>Sino Export Ltd</x:v>
      </x:c>
      <x:c r="F30" s="8" t="n">
        <x:v>45993</x:v>
      </x:c>
      <x:c r="G30" t="str">
        <x:v>SEL</x:v>
      </x:c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>
      <x:c r="A31" t="str">
        <x:v>LPG</x:v>
      </x:c>
      <x:c r="B31" t="str">
        <x:v>Liquefied petroleum gas â€“ propane and butane</x:v>
      </x:c>
      <x:c r="C31" t="str">
        <x:v>Australia</x:v>
      </x:c>
      <x:c r="D31" t="n">
        <x:v>600000</x:v>
      </x:c>
      <x:c r="E31" t="str">
        <x:v>AUS Energy Pty</x:v>
      </x:c>
      <x:c r="F31" s="8" t="n">
        <x:v>45999</x:v>
      </x:c>
      <x:c r="G31" t="str">
        <x:v>AEP</x:v>
      </x:c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>
      <x:c r="A32" t="str">
        <x:v>LPG</x:v>
      </x:c>
      <x:c r="B32" t="str">
        <x:v>Liquefied petroleum gas â€“ propane and butane</x:v>
      </x:c>
      <x:c r="C32" t="str">
        <x:v>Norway</x:v>
      </x:c>
      <x:c r="D32" t="n">
        <x:v>610000</x:v>
      </x:c>
      <x:c r="E32" t="str">
        <x:v>Norway Oil Export</x:v>
      </x:c>
      <x:c r="F32" s="8" t="n">
        <x:v>46005</x:v>
      </x:c>
      <x:c r="G32" t="str">
        <x:v>NOE</x:v>
      </x:c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 t="str">
        <x:v>Refinery Gas</x:v>
      </x:c>
      <x:c r="B33" t="str">
        <x:v>Used within refinery process</x:v>
      </x:c>
      <x:c r="C33" t="str">
        <x:v>Turkey</x:v>
      </x:c>
      <x:c r="D33" t="n">
        <x:v>750000</x:v>
      </x:c>
      <x:c r="E33" t="str">
        <x:v>Turkish Energy A.S.</x:v>
      </x:c>
      <x:c r="F33" s="8" t="n">
        <x:v>45971</x:v>
      </x:c>
      <x:c r="G33" t="str">
        <x:v>TEA</x:v>
      </x:c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 t="str">
        <x:v>Refinery Gas</x:v>
      </x:c>
      <x:c r="B34" t="str">
        <x:v>Used within refinery process</x:v>
      </x:c>
      <x:c r="C34" t="str">
        <x:v>Jordan</x:v>
      </x:c>
      <x:c r="D34" t="n">
        <x:v>770000</x:v>
      </x:c>
      <x:c r="E34" t="str">
        <x:v>Jordan Petroleum Co</x:v>
      </x:c>
      <x:c r="F34" s="8" t="n">
        <x:v>45977</x:v>
      </x:c>
      <x:c r="G34" t="str">
        <x:v>JPC</x:v>
      </x:c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t="str">
        <x:v>Refinery Gas</x:v>
      </x:c>
      <x:c r="B35" t="str">
        <x:v>Used within refinery process</x:v>
      </x:c>
      <x:c r="C35" t="str">
        <x:v>South Korea</x:v>
      </x:c>
      <x:c r="D35" t="n">
        <x:v>760000</x:v>
      </x:c>
      <x:c r="E35" t="str">
        <x:v>Korea Energy Corp</x:v>
      </x:c>
      <x:c r="F35" s="8" t="n">
        <x:v>45983</x:v>
      </x:c>
      <x:c r="G35" t="str">
        <x:v>KEC</x:v>
      </x:c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>
      <x:c r="A36" t="str">
        <x:v>Refinery Gas</x:v>
      </x:c>
      <x:c r="B36" t="str">
        <x:v>Used within refinery process</x:v>
      </x:c>
      <x:c r="C36" t="str">
        <x:v>Japan</x:v>
      </x:c>
      <x:c r="D36" t="n">
        <x:v>780000</x:v>
      </x:c>
      <x:c r="E36" t="str">
        <x:v>Japan Oil Trading</x:v>
      </x:c>
      <x:c r="F36" s="8" t="n">
        <x:v>45994</x:v>
      </x:c>
      <x:c r="G36" t="str">
        <x:v>JOT</x:v>
      </x:c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>
      <x:c r="A37" t="str">
        <x:v>Refinery Gas</x:v>
      </x:c>
      <x:c r="B37" t="str">
        <x:v>Used within refinery process</x:v>
      </x:c>
      <x:c r="C37" t="str">
        <x:v>China</x:v>
      </x:c>
      <x:c r="D37" t="n">
        <x:v>790000</x:v>
      </x:c>
      <x:c r="E37" t="str">
        <x:v>China Petro Export</x:v>
      </x:c>
      <x:c r="F37" s="8" t="n">
        <x:v>46000</x:v>
      </x:c>
      <x:c r="G37" t="str">
        <x:v>CPE</x:v>
      </x:c>
      <x:c r="H37"/>
      <x:c r="I37"/>
      <x:c r="J37"/>
      <x:c r="K37"/>
      <x:c r="L37"/>
      <x:c r="M37"/>
      <x:c r="N37"/>
      <x:c r="O37"/>
      <x:c r="P37"/>
      <x:c r="Q37"/>
      <x:c r="R37"/>
      <x:c r="S37"/>
    </x:row>
    <x:row r="38">
      <x:c r="A38" t="str">
        <x:v>Refinery Gas</x:v>
      </x:c>
      <x:c r="B38" t="str">
        <x:v>Used within refinery process</x:v>
      </x:c>
      <x:c r="C38" t="str">
        <x:v>Australia</x:v>
      </x:c>
      <x:c r="D38" t="n">
        <x:v>800000</x:v>
      </x:c>
      <x:c r="E38" t="str">
        <x:v>AUS Energy Pty</x:v>
      </x:c>
      <x:c r="F38" s="8" t="n">
        <x:v>46006</x:v>
      </x:c>
      <x:c r="G38" t="str">
        <x:v>AEP</x:v>
      </x:c>
      <x:c r="H38"/>
      <x:c r="I38"/>
      <x:c r="J38"/>
      <x:c r="K38"/>
      <x:c r="L38"/>
      <x:c r="M38"/>
      <x:c r="N38"/>
      <x:c r="O38"/>
      <x:c r="P38"/>
      <x:c r="Q38"/>
      <x:c r="R38"/>
      <x:c r="S38"/>
    </x:row>
  </x:sheetData>
  <x:pageMargins left="0.7" right="0.7" top="0.75" bottom="0.75" header="0.3" footer="0.3"/>
  <x:tableParts count="1">
    <x:tablePart xmlns:r="http://schemas.openxmlformats.org/officeDocument/2006/relationships" r:id="R84fb63d055f34a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4.980000019073486" hidden="0" customWidth="1"/>
    <x:col min="3" max="3" width="17.360000610351562" hidden="0" customWidth="1"/>
    <x:col min="4" max="4" width="8.210000038146973" hidden="0" customWidth="1"/>
    <x:col min="5" max="5" width="12.920000076293945" hidden="0" customWidth="1"/>
    <x:col min="6" max="6" width="9.960000038146973" hidden="0" customWidth="1"/>
    <x:col min="7" max="7" width="13.0600004196167" hidden="0" customWidth="1"/>
    <x:col min="8" max="8" width="9.960000038146973" hidden="0" customWidth="1"/>
    <x:col min="9" max="9" width="13.319999694824219" hidden="0" customWidth="1"/>
    <x:col min="10" max="10" width="0.6000000238418579" hidden="0" customWidth="1"/>
    <x:col min="11" max="11" width="10.359999656677246" hidden="0" customWidth="1"/>
    <x:col min="12" max="12" width="7" hidden="0" customWidth="1"/>
    <x:col min="13" max="13" width="4.039999961853027" hidden="0" customWidth="1"/>
    <x:col min="14" max="14" width="7.940000057220459" hidden="0" customWidth="1"/>
  </x:cols>
  <x:sheetData>
    <x:row r="1">
      <x:c r="A1" s="4" t="str">
        <x:v>id</x:v>
      </x:c>
      <x:c r="B1" s="4" t="str">
        <x:v>date</x:v>
      </x:c>
      <x:c r="C1" s="4" t="str">
        <x:v>numberOfDailyBarrel</x:v>
      </x:c>
      <x:c r="D1" s="4" t="str">
        <x:v>wellName</x:v>
      </x:c>
      <x:c r="E1" s="4" t="str">
        <x:v>filterationName</x:v>
      </x:c>
      <x:c r="F1" s="4" t="str">
        <x:v>Diesel</x:v>
      </x:c>
      <x:c r="G1" s="4" t="str">
        <x:v>productionTime</x:v>
      </x:c>
      <x:c r="H1" s="4" t="str">
        <x:v>Oil Type</x:v>
      </x:c>
      <x:c r="I1" s="4" t="str">
        <x:v>Total Production</x:v>
      </x:c>
      <x:c r="J1" s="4"/>
      <x:c r="K1" s="4" t="str">
        <x:v>Oil Station</x:v>
      </x:c>
      <x:c r="L1" s="4" t="str">
        <x:v>Total</x:v>
      </x:c>
      <x:c r="M1" s="4" t="str">
        <x:v>Well</x:v>
      </x:c>
      <x:c r="N1" s="4" t="str">
        <x:v>Total</x:v>
      </x:c>
    </x:row>
    <x:row r="2">
      <x:c r="A2" t="n">
        <x:v>166</x:v>
      </x:c>
      <x:c r="B2" s="8" t="n">
        <x:v>46009</x:v>
      </x:c>
      <x:c r="C2" s="16" t="n">
        <x:v>391601</x:v>
      </x:c>
      <x:c r="D2" t="str">
        <x:v>DH-3</x:v>
      </x:c>
      <x:c r="E2" t="str">
        <x:v>Oil Station 1</x:v>
      </x:c>
      <x:c r="F2" t="str">
        <x:v>Diesel</x:v>
      </x:c>
      <x:c r="G2" s="14" t="n">
        <x:v>0.5478009259259259</x:v>
      </x:c>
      <x:c r="H2" t="str">
        <x:v>Diesel</x:v>
      </x:c>
      <x:c r="I2" t="n">
        <x:v>3560500</x:v>
      </x:c>
      <x:c r="J2"/>
      <x:c r="K2" t="str">
        <x:v>Oil Station 1</x:v>
      </x:c>
      <x:c r="L2" t="n">
        <x:v>7980830</x:v>
      </x:c>
      <x:c r="M2" t="str">
        <x:v>DH-1</x:v>
      </x:c>
      <x:c r="N2" t="n">
        <x:v>14202181</x:v>
      </x:c>
    </x:row>
    <x:row r="3">
      <x:c r="A3" t="n">
        <x:v>168</x:v>
      </x:c>
      <x:c r="B3" s="8" t="n">
        <x:v>46038</x:v>
      </x:c>
      <x:c r="C3" s="16" t="n">
        <x:v>356972</x:v>
      </x:c>
      <x:c r="D3" t="str">
        <x:v>DH-3</x:v>
      </x:c>
      <x:c r="E3" t="str">
        <x:v>Oil Station 1</x:v>
      </x:c>
      <x:c r="F3" t="str">
        <x:v>Diesel</x:v>
      </x:c>
      <x:c r="G3" s="14" t="n">
        <x:v>0.8468287037037037</x:v>
      </x:c>
      <x:c r="H3" t="str">
        <x:v>Gasoline</x:v>
      </x:c>
      <x:c r="I3" t="n">
        <x:v>6213814</x:v>
      </x:c>
      <x:c r="J3"/>
      <x:c r="K3" t="str">
        <x:v>Oil Station 2</x:v>
      </x:c>
      <x:c r="L3" t="n">
        <x:v>7442987</x:v>
      </x:c>
      <x:c r="M3" t="str">
        <x:v>DH-2</x:v>
      </x:c>
      <x:c r="N3" t="n">
        <x:v>16444765</x:v>
      </x:c>
    </x:row>
    <x:row r="4">
      <x:c r="A4" t="n">
        <x:v>181</x:v>
      </x:c>
      <x:c r="B4" s="8" t="n">
        <x:v>46046</x:v>
      </x:c>
      <x:c r="C4" s="16" t="n">
        <x:v>426035</x:v>
      </x:c>
      <x:c r="D4" t="str">
        <x:v>DH-3</x:v>
      </x:c>
      <x:c r="E4" t="str">
        <x:v>Oil Station 1</x:v>
      </x:c>
      <x:c r="F4" t="str">
        <x:v>Diesel</x:v>
      </x:c>
      <x:c r="G4" s="14" t="n">
        <x:v>0.38667824074074075</x:v>
      </x:c>
      <x:c r="H4" t="str">
        <x:v>Heating Oil</x:v>
      </x:c>
      <x:c r="I4" t="n">
        <x:v>8123050</x:v>
      </x:c>
      <x:c r="J4"/>
      <x:c r="K4" t="str">
        <x:v>Oil Station 3</x:v>
      </x:c>
      <x:c r="L4" t="n">
        <x:v>5288163</x:v>
      </x:c>
      <x:c r="M4" t="str">
        <x:v>DH-3</x:v>
      </x:c>
      <x:c r="N4" t="n">
        <x:v>9575863</x:v>
      </x:c>
    </x:row>
    <x:row r="5">
      <x:c r="A5" t="n">
        <x:v>194</x:v>
      </x:c>
      <x:c r="B5" s="8" t="n">
        <x:v>45979</x:v>
      </x:c>
      <x:c r="C5" s="16" t="n">
        <x:v>399960</x:v>
      </x:c>
      <x:c r="D5" t="str">
        <x:v>DH-3</x:v>
      </x:c>
      <x:c r="E5" t="str">
        <x:v>Oil Station 1</x:v>
      </x:c>
      <x:c r="F5" t="str">
        <x:v>Diesel</x:v>
      </x:c>
      <x:c r="G5" s="14" t="n">
        <x:v>0.3230208333333333</x:v>
      </x:c>
      <x:c r="H5" t="str">
        <x:v>Jet Fuel</x:v>
      </x:c>
      <x:c r="I5" t="n">
        <x:v>8605914</x:v>
      </x:c>
      <x:c r="J5"/>
      <x:c r="K5" t="str">
        <x:v>Oil Station 4</x:v>
      </x:c>
      <x:c r="L5" t="n">
        <x:v>9562165</x:v>
      </x:c>
      <x:c r="M5"/>
      <x:c r="N5"/>
    </x:row>
    <x:row r="6">
      <x:c r="A6" t="n">
        <x:v>222</x:v>
      </x:c>
      <x:c r="B6" s="8" t="n">
        <x:v>45972</x:v>
      </x:c>
      <x:c r="C6" s="16" t="n">
        <x:v>329194</x:v>
      </x:c>
      <x:c r="D6" t="str">
        <x:v>DH-3</x:v>
      </x:c>
      <x:c r="E6" t="str">
        <x:v>Oil Station 1</x:v>
      </x:c>
      <x:c r="F6" t="str">
        <x:v>Diesel</x:v>
      </x:c>
      <x:c r="G6" s="14" t="n">
        <x:v>0.10314814814814814</x:v>
      </x:c>
      <x:c r="H6" t="str">
        <x:v>LPG</x:v>
      </x:c>
      <x:c r="I6" t="n">
        <x:v>5953139</x:v>
      </x:c>
      <x:c r="J6"/>
      <x:c r="K6" t="str">
        <x:v>Gas Station 1</x:v>
      </x:c>
      <x:c r="L6" t="n">
        <x:v>5584861</x:v>
      </x:c>
      <x:c r="M6"/>
      <x:c r="N6"/>
    </x:row>
    <x:row r="7">
      <x:c r="A7" t="n">
        <x:v>146</x:v>
      </x:c>
      <x:c r="B7" s="8" t="n">
        <x:v>46007</x:v>
      </x:c>
      <x:c r="C7" s="16" t="n">
        <x:v>422512</x:v>
      </x:c>
      <x:c r="D7" t="str">
        <x:v>DH-2</x:v>
      </x:c>
      <x:c r="E7" t="str">
        <x:v>Oil Station 1</x:v>
      </x:c>
      <x:c r="F7" t="str">
        <x:v>Diesel</x:v>
      </x:c>
      <x:c r="G7" s="14" t="n">
        <x:v>0.6450694444444445</x:v>
      </x:c>
      <x:c r="H7" t="str">
        <x:v>Refinery Gas</x:v>
      </x:c>
      <x:c r="I7" t="n">
        <x:v>7394778</x:v>
      </x:c>
      <x:c r="J7"/>
      <x:c r="K7" t="str">
        <x:v>Gas Station 2</x:v>
      </x:c>
      <x:c r="L7" t="n">
        <x:v>4363803</x:v>
      </x:c>
      <x:c r="M7"/>
      <x:c r="N7"/>
    </x:row>
    <x:row r="8">
      <x:c r="A8" t="n">
        <x:v>148</x:v>
      </x:c>
      <x:c r="B8" s="8" t="n">
        <x:v>46018</x:v>
      </x:c>
      <x:c r="C8" s="16" t="n">
        <x:v>486129</x:v>
      </x:c>
      <x:c r="D8" t="str">
        <x:v>DH-2</x:v>
      </x:c>
      <x:c r="E8" t="str">
        <x:v>Oil Station 1</x:v>
      </x:c>
      <x:c r="F8" t="str">
        <x:v>Diesel</x:v>
      </x:c>
      <x:c r="G8" s="14" t="n">
        <x:v>0.9787962962962963</x:v>
      </x:c>
      <x:c r="H8"/>
      <x:c r="I8"/>
      <x:c r="J8"/>
      <x:c r="K8"/>
      <x:c r="L8"/>
      <x:c r="M8"/>
      <x:c r="N8"/>
    </x:row>
    <x:row r="9">
      <x:c r="A9" t="n">
        <x:v>158</x:v>
      </x:c>
      <x:c r="B9" s="8" t="n">
        <x:v>46024</x:v>
      </x:c>
      <x:c r="C9" s="16" t="n">
        <x:v>357991</x:v>
      </x:c>
      <x:c r="D9" t="str">
        <x:v>DH-2</x:v>
      </x:c>
      <x:c r="E9" t="str">
        <x:v>Oil Station 1</x:v>
      </x:c>
      <x:c r="F9" t="str">
        <x:v>Diesel</x:v>
      </x:c>
      <x:c r="G9" s="14" t="n">
        <x:v>0.20309027777777777</x:v>
      </x:c>
      <x:c r="H9"/>
      <x:c r="I9"/>
      <x:c r="J9"/>
      <x:c r="K9"/>
      <x:c r="L9"/>
      <x:c r="M9"/>
      <x:c r="N9"/>
    </x:row>
    <x:row r="10">
      <x:c r="A10" t="n">
        <x:v>191</x:v>
      </x:c>
      <x:c r="B10" s="8" t="n">
        <x:v>46003</x:v>
      </x:c>
      <x:c r="C10" s="16" t="n">
        <x:v>390106</x:v>
      </x:c>
      <x:c r="D10" t="str">
        <x:v>DH-2</x:v>
      </x:c>
      <x:c r="E10" t="str">
        <x:v>Oil Station 1</x:v>
      </x:c>
      <x:c r="F10" t="str">
        <x:v>Diesel</x:v>
      </x:c>
      <x:c r="G10" s="14" t="n">
        <x:v>0.07185185185185185</x:v>
      </x:c>
      <x:c r="H10"/>
      <x:c r="I10"/>
      <x:c r="J10"/>
      <x:c r="K10"/>
      <x:c r="L10"/>
      <x:c r="M10"/>
      <x:c r="N10"/>
    </x:row>
    <x:row r="11">
      <x:c r="A11" t="n">
        <x:v>196</x:v>
      </x:c>
      <x:c r="B11" s="8" t="n">
        <x:v>45997</x:v>
      </x:c>
      <x:c r="C11" s="16" t="n">
        <x:v>317225</x:v>
      </x:c>
      <x:c r="D11" t="str">
        <x:v>DH-2</x:v>
      </x:c>
      <x:c r="E11" t="str">
        <x:v>Oil Station 1</x:v>
      </x:c>
      <x:c r="F11" t="str">
        <x:v>Gasoline</x:v>
      </x:c>
      <x:c r="G11" s="14" t="n">
        <x:v>0.21354166666666666</x:v>
      </x:c>
      <x:c r="H11"/>
      <x:c r="I11"/>
      <x:c r="J11"/>
      <x:c r="K11"/>
      <x:c r="L11"/>
      <x:c r="M11"/>
      <x:c r="N11"/>
    </x:row>
    <x:row r="12">
      <x:c r="A12" t="n">
        <x:v>205</x:v>
      </x:c>
      <x:c r="B12" s="8" t="n">
        <x:v>45998</x:v>
      </x:c>
      <x:c r="C12" s="16" t="n">
        <x:v>472180</x:v>
      </x:c>
      <x:c r="D12" t="str">
        <x:v>DH-2</x:v>
      </x:c>
      <x:c r="E12" t="str">
        <x:v>Oil Station 1</x:v>
      </x:c>
      <x:c r="F12" t="str">
        <x:v>Gasoline</x:v>
      </x:c>
      <x:c r="G12" s="14" t="n">
        <x:v>0.3590393518518519</x:v>
      </x:c>
      <x:c r="H12"/>
      <x:c r="I12"/>
      <x:c r="J12"/>
      <x:c r="K12"/>
      <x:c r="L12"/>
      <x:c r="M12"/>
      <x:c r="N12"/>
    </x:row>
    <x:row r="13">
      <x:c r="A13" t="n">
        <x:v>209</x:v>
      </x:c>
      <x:c r="B13" s="8" t="n">
        <x:v>45984</x:v>
      </x:c>
      <x:c r="C13" s="16" t="n">
        <x:v>374169</x:v>
      </x:c>
      <x:c r="D13" t="str">
        <x:v>DH-2</x:v>
      </x:c>
      <x:c r="E13" t="str">
        <x:v>Oil Station 1</x:v>
      </x:c>
      <x:c r="F13" t="str">
        <x:v>Gasoline</x:v>
      </x:c>
      <x:c r="G13" s="14" t="n">
        <x:v>0.3236574074074074</x:v>
      </x:c>
      <x:c r="H13"/>
      <x:c r="I13"/>
      <x:c r="J13"/>
      <x:c r="K13"/>
      <x:c r="L13"/>
      <x:c r="M13"/>
      <x:c r="N13"/>
    </x:row>
    <x:row r="14">
      <x:c r="A14" t="n">
        <x:v>215</x:v>
      </x:c>
      <x:c r="B14" s="8" t="n">
        <x:v>46052</x:v>
      </x:c>
      <x:c r="C14" s="16" t="n">
        <x:v>444150</x:v>
      </x:c>
      <x:c r="D14" t="str">
        <x:v>DH-2</x:v>
      </x:c>
      <x:c r="E14" t="str">
        <x:v>Oil Station 1</x:v>
      </x:c>
      <x:c r="F14" t="str">
        <x:v>Gasoline</x:v>
      </x:c>
      <x:c r="G14" s="14" t="n">
        <x:v>0.17875</x:v>
      </x:c>
      <x:c r="H14"/>
      <x:c r="I14"/>
      <x:c r="J14"/>
      <x:c r="K14"/>
      <x:c r="L14"/>
      <x:c r="M14"/>
      <x:c r="N14"/>
    </x:row>
    <x:row r="15">
      <x:c r="A15" t="n">
        <x:v>219</x:v>
      </x:c>
      <x:c r="B15" s="8" t="n">
        <x:v>45979</x:v>
      </x:c>
      <x:c r="C15" s="16" t="n">
        <x:v>346109</x:v>
      </x:c>
      <x:c r="D15" t="str">
        <x:v>DH-2</x:v>
      </x:c>
      <x:c r="E15" t="str">
        <x:v>Oil Station 1</x:v>
      </x:c>
      <x:c r="F15" t="str">
        <x:v>Gasoline</x:v>
      </x:c>
      <x:c r="G15" s="14" t="n">
        <x:v>0.23430555555555554</x:v>
      </x:c>
      <x:c r="H15"/>
      <x:c r="I15"/>
      <x:c r="J15"/>
      <x:c r="K15"/>
      <x:c r="L15"/>
      <x:c r="M15"/>
      <x:c r="N15"/>
    </x:row>
    <x:row r="16">
      <x:c r="A16" t="n">
        <x:v>154</x:v>
      </x:c>
      <x:c r="B16" s="8" t="n">
        <x:v>46025</x:v>
      </x:c>
      <x:c r="C16" s="16" t="n">
        <x:v>393870</x:v>
      </x:c>
      <x:c r="D16" t="str">
        <x:v>DH-1</x:v>
      </x:c>
      <x:c r="E16" t="str">
        <x:v>Oil Station 1</x:v>
      </x:c>
      <x:c r="F16" t="str">
        <x:v>Gasoline</x:v>
      </x:c>
      <x:c r="G16" s="14" t="n">
        <x:v>0.672025462962963</x:v>
      </x:c>
      <x:c r="H16"/>
      <x:c r="I16"/>
      <x:c r="J16"/>
      <x:c r="K16"/>
      <x:c r="L16"/>
      <x:c r="M16"/>
      <x:c r="N16"/>
    </x:row>
    <x:row r="17">
      <x:c r="A17" t="n">
        <x:v>184</x:v>
      </x:c>
      <x:c r="B17" s="8" t="n">
        <x:v>46003</x:v>
      </x:c>
      <x:c r="C17" s="16" t="n">
        <x:v>464516</x:v>
      </x:c>
      <x:c r="D17" t="str">
        <x:v>DH-1</x:v>
      </x:c>
      <x:c r="E17" t="str">
        <x:v>Oil Station 1</x:v>
      </x:c>
      <x:c r="F17" t="str">
        <x:v>Gasoline</x:v>
      </x:c>
      <x:c r="G17" s="14" t="n">
        <x:v>0.6790625</x:v>
      </x:c>
      <x:c r="H17"/>
      <x:c r="I17"/>
      <x:c r="J17"/>
      <x:c r="K17"/>
      <x:c r="L17"/>
      <x:c r="M17"/>
      <x:c r="N17"/>
    </x:row>
    <x:row r="18">
      <x:c r="A18" t="n">
        <x:v>189</x:v>
      </x:c>
      <x:c r="B18" s="8" t="n">
        <x:v>46008</x:v>
      </x:c>
      <x:c r="C18" s="16" t="n">
        <x:v>447890</x:v>
      </x:c>
      <x:c r="D18" t="str">
        <x:v>DH-1</x:v>
      </x:c>
      <x:c r="E18" t="str">
        <x:v>Oil Station 1</x:v>
      </x:c>
      <x:c r="F18" t="str">
        <x:v>Gasoline</x:v>
      </x:c>
      <x:c r="G18" s="14" t="n">
        <x:v>0.2856712962962963</x:v>
      </x:c>
      <x:c r="H18"/>
      <x:c r="I18"/>
      <x:c r="J18"/>
      <x:c r="K18"/>
      <x:c r="L18"/>
      <x:c r="M18"/>
      <x:c r="N18"/>
    </x:row>
    <x:row r="19">
      <x:c r="A19" t="n">
        <x:v>190</x:v>
      </x:c>
      <x:c r="B19" s="8" t="n">
        <x:v>46014</x:v>
      </x:c>
      <x:c r="C19" s="16" t="n">
        <x:v>401717</x:v>
      </x:c>
      <x:c r="D19" t="str">
        <x:v>DH-1</x:v>
      </x:c>
      <x:c r="E19" t="str">
        <x:v>Oil Station 1</x:v>
      </x:c>
      <x:c r="F19" t="str">
        <x:v>Gasoline</x:v>
      </x:c>
      <x:c r="G19" s="14" t="n">
        <x:v>0.1725925925925926</x:v>
      </x:c>
      <x:c r="H19"/>
      <x:c r="I19"/>
      <x:c r="J19"/>
      <x:c r="K19"/>
      <x:c r="L19"/>
      <x:c r="M19"/>
      <x:c r="N19"/>
    </x:row>
    <x:row r="20">
      <x:c r="A20" t="n">
        <x:v>192</x:v>
      </x:c>
      <x:c r="B20" s="8" t="n">
        <x:v>46011</x:v>
      </x:c>
      <x:c r="C20" s="16" t="n">
        <x:v>361077</x:v>
      </x:c>
      <x:c r="D20" t="str">
        <x:v>DH-1</x:v>
      </x:c>
      <x:c r="E20" t="str">
        <x:v>Oil Station 1</x:v>
      </x:c>
      <x:c r="F20" t="str">
        <x:v>Gasoline</x:v>
      </x:c>
      <x:c r="G20" s="14" t="n">
        <x:v>0.20820601851851853</x:v>
      </x:c>
      <x:c r="H20"/>
      <x:c r="I20"/>
      <x:c r="J20"/>
      <x:c r="K20"/>
      <x:c r="L20"/>
      <x:c r="M20"/>
      <x:c r="N20"/>
    </x:row>
    <x:row r="21">
      <x:c r="A21" t="n">
        <x:v>203</x:v>
      </x:c>
      <x:c r="B21" s="8" t="n">
        <x:v>45987</x:v>
      </x:c>
      <x:c r="C21" s="16" t="n">
        <x:v>397427</x:v>
      </x:c>
      <x:c r="D21" t="str">
        <x:v>DH-1</x:v>
      </x:c>
      <x:c r="E21" t="str">
        <x:v>Oil Station 1</x:v>
      </x:c>
      <x:c r="F21" t="str">
        <x:v>Gasoline</x:v>
      </x:c>
      <x:c r="G21" s="14" t="n">
        <x:v>0.002766203703703704</x:v>
      </x:c>
      <x:c r="H21"/>
      <x:c r="I21"/>
      <x:c r="J21"/>
      <x:c r="K21"/>
      <x:c r="L21"/>
      <x:c r="M21"/>
      <x:c r="N21"/>
    </x:row>
    <x:row r="22">
      <x:c r="A22" t="n">
        <x:v>159</x:v>
      </x:c>
      <x:c r="B22" s="8" t="n">
        <x:v>45983</x:v>
      </x:c>
      <x:c r="C22" s="16" t="n">
        <x:v>394785</x:v>
      </x:c>
      <x:c r="D22" t="str">
        <x:v>DH-3</x:v>
      </x:c>
      <x:c r="E22" t="str">
        <x:v>Oil Station 2</x:v>
      </x:c>
      <x:c r="F22" t="str">
        <x:v>Gasoline</x:v>
      </x:c>
      <x:c r="G22" s="14" t="n">
        <x:v>0.09204861111111111</x:v>
      </x:c>
      <x:c r="H22"/>
      <x:c r="I22"/>
      <x:c r="J22"/>
      <x:c r="K22"/>
      <x:c r="L22"/>
      <x:c r="M22"/>
      <x:c r="N22"/>
    </x:row>
    <x:row r="23">
      <x:c r="A23" t="n">
        <x:v>185</x:v>
      </x:c>
      <x:c r="B23" s="8" t="n">
        <x:v>46003</x:v>
      </x:c>
      <x:c r="C23" s="16" t="n">
        <x:v>483184</x:v>
      </x:c>
      <x:c r="D23" t="str">
        <x:v>DH-3</x:v>
      </x:c>
      <x:c r="E23" t="str">
        <x:v>Oil Station 2</x:v>
      </x:c>
      <x:c r="F23" t="str">
        <x:v>Gasoline</x:v>
      </x:c>
      <x:c r="G23" s="14" t="n">
        <x:v>0.2839236111111111</x:v>
      </x:c>
      <x:c r="H23"/>
      <x:c r="I23"/>
      <x:c r="J23"/>
      <x:c r="K23"/>
      <x:c r="L23"/>
      <x:c r="M23"/>
      <x:c r="N23"/>
    </x:row>
    <x:row r="24">
      <x:c r="A24" t="n">
        <x:v>186</x:v>
      </x:c>
      <x:c r="B24" s="8" t="n">
        <x:v>46027</x:v>
      </x:c>
      <x:c r="C24" s="16" t="n">
        <x:v>455306</x:v>
      </x:c>
      <x:c r="D24" t="str">
        <x:v>DH-3</x:v>
      </x:c>
      <x:c r="E24" t="str">
        <x:v>Oil Station 2</x:v>
      </x:c>
      <x:c r="F24" t="str">
        <x:v>Gasoline</x:v>
      </x:c>
      <x:c r="G24" s="14" t="n">
        <x:v>0.7873958333333333</x:v>
      </x:c>
      <x:c r="H24"/>
      <x:c r="I24"/>
      <x:c r="J24"/>
      <x:c r="K24"/>
      <x:c r="L24"/>
      <x:c r="M24"/>
      <x:c r="N24"/>
    </x:row>
    <x:row r="25">
      <x:c r="A25" t="n">
        <x:v>195</x:v>
      </x:c>
      <x:c r="B25" s="8" t="n">
        <x:v>45989</x:v>
      </x:c>
      <x:c r="C25" s="16" t="n">
        <x:v>460209</x:v>
      </x:c>
      <x:c r="D25" t="str">
        <x:v>DH-3</x:v>
      </x:c>
      <x:c r="E25" t="str">
        <x:v>Oil Station 2</x:v>
      </x:c>
      <x:c r="F25" t="str">
        <x:v>Gasoline</x:v>
      </x:c>
      <x:c r="G25" s="14" t="n">
        <x:v>0.7315856481481482</x:v>
      </x:c>
      <x:c r="H25"/>
      <x:c r="I25"/>
      <x:c r="J25"/>
      <x:c r="K25"/>
      <x:c r="L25"/>
      <x:c r="M25"/>
      <x:c r="N25"/>
    </x:row>
    <x:row r="26">
      <x:c r="A26" t="n">
        <x:v>200</x:v>
      </x:c>
      <x:c r="B26" s="8" t="n">
        <x:v>45984</x:v>
      </x:c>
      <x:c r="C26" s="16" t="n">
        <x:v>312212</x:v>
      </x:c>
      <x:c r="D26" t="str">
        <x:v>DH-3</x:v>
      </x:c>
      <x:c r="E26" t="str">
        <x:v>Oil Station 2</x:v>
      </x:c>
      <x:c r="F26" t="str">
        <x:v>Heating Oil</x:v>
      </x:c>
      <x:c r="G26" s="14" t="n">
        <x:v>0.7307175925925926</x:v>
      </x:c>
      <x:c r="H26"/>
      <x:c r="I26"/>
      <x:c r="J26" t="str">
        <x:v>  </x:v>
      </x:c>
      <x:c r="K26"/>
      <x:c r="L26"/>
      <x:c r="M26"/>
      <x:c r="N26"/>
    </x:row>
    <x:row r="27">
      <x:c r="A27" t="n">
        <x:v>211</x:v>
      </x:c>
      <x:c r="B27" s="8" t="n">
        <x:v>45994</x:v>
      </x:c>
      <x:c r="C27" s="16" t="n">
        <x:v>460964</x:v>
      </x:c>
      <x:c r="D27" t="str">
        <x:v>DH-3</x:v>
      </x:c>
      <x:c r="E27" t="str">
        <x:v>Oil Station 2</x:v>
      </x:c>
      <x:c r="F27" t="str">
        <x:v>Heating Oil</x:v>
      </x:c>
      <x:c r="G27" s="14" t="n">
        <x:v>0.9386689814814815</x:v>
      </x:c>
      <x:c r="H27"/>
      <x:c r="I27"/>
      <x:c r="J27"/>
      <x:c r="K27"/>
      <x:c r="L27"/>
      <x:c r="M27"/>
      <x:c r="N27"/>
    </x:row>
    <x:row r="28">
      <x:c r="A28" t="n">
        <x:v>141</x:v>
      </x:c>
      <x:c r="B28" s="8" t="n">
        <x:v>46016</x:v>
      </x:c>
      <x:c r="C28" s="16" t="n">
        <x:v>373295</x:v>
      </x:c>
      <x:c r="D28" t="str">
        <x:v>DH-2</x:v>
      </x:c>
      <x:c r="E28" t="str">
        <x:v>Oil Station 2</x:v>
      </x:c>
      <x:c r="F28" t="str">
        <x:v>Heating Oil</x:v>
      </x:c>
      <x:c r="G28" s="14" t="n">
        <x:v>0.602037037037037</x:v>
      </x:c>
      <x:c r="H28"/>
      <x:c r="I28"/>
      <x:c r="J28"/>
      <x:c r="K28"/>
      <x:c r="L28"/>
      <x:c r="M28"/>
      <x:c r="N28"/>
    </x:row>
    <x:row r="29">
      <x:c r="A29" t="n">
        <x:v>143</x:v>
      </x:c>
      <x:c r="B29" s="8" t="n">
        <x:v>45983</x:v>
      </x:c>
      <x:c r="C29" s="16" t="n">
        <x:v>458850</x:v>
      </x:c>
      <x:c r="D29" t="str">
        <x:v>DH-2</x:v>
      </x:c>
      <x:c r="E29" t="str">
        <x:v>Oil Station 2</x:v>
      </x:c>
      <x:c r="F29" t="str">
        <x:v>Heating Oil</x:v>
      </x:c>
      <x:c r="G29" s="14" t="n">
        <x:v>0.4108101851851852</x:v>
      </x:c>
      <x:c r="H29"/>
      <x:c r="I29"/>
      <x:c r="J29"/>
      <x:c r="K29"/>
      <x:c r="L29"/>
      <x:c r="M29"/>
      <x:c r="N29"/>
    </x:row>
    <x:row r="30">
      <x:c r="A30" t="n">
        <x:v>145</x:v>
      </x:c>
      <x:c r="B30" s="8" t="n">
        <x:v>46031</x:v>
      </x:c>
      <x:c r="C30" s="16" t="n">
        <x:v>313598</x:v>
      </x:c>
      <x:c r="D30" t="str">
        <x:v>DH-2</x:v>
      </x:c>
      <x:c r="E30" t="str">
        <x:v>Oil Station 2</x:v>
      </x:c>
      <x:c r="F30" t="str">
        <x:v>Heating Oil</x:v>
      </x:c>
      <x:c r="G30" s="14" t="n">
        <x:v>0.7191550925925926</x:v>
      </x:c>
      <x:c r="H30"/>
      <x:c r="I30"/>
      <x:c r="J30"/>
      <x:c r="K30"/>
      <x:c r="L30"/>
      <x:c r="M30"/>
      <x:c r="N30"/>
    </x:row>
    <x:row r="31">
      <x:c r="A31" t="n">
        <x:v>160</x:v>
      </x:c>
      <x:c r="B31" s="8" t="n">
        <x:v>46049</x:v>
      </x:c>
      <x:c r="C31" s="16" t="n">
        <x:v>331735</x:v>
      </x:c>
      <x:c r="D31" t="str">
        <x:v>DH-2</x:v>
      </x:c>
      <x:c r="E31" t="str">
        <x:v>Oil Station 2</x:v>
      </x:c>
      <x:c r="F31" t="str">
        <x:v>Heating Oil</x:v>
      </x:c>
      <x:c r="G31" s="14" t="n">
        <x:v>0.11248842592592592</x:v>
      </x:c>
      <x:c r="H31"/>
      <x:c r="I31"/>
      <x:c r="J31"/>
      <x:c r="K31"/>
      <x:c r="L31"/>
      <x:c r="M31"/>
      <x:c r="N31"/>
    </x:row>
    <x:row r="32">
      <x:c r="A32" t="n">
        <x:v>176</x:v>
      </x:c>
      <x:c r="B32" s="8" t="n">
        <x:v>46034</x:v>
      </x:c>
      <x:c r="C32" s="16" t="n">
        <x:v>472557</x:v>
      </x:c>
      <x:c r="D32" t="str">
        <x:v>DH-2</x:v>
      </x:c>
      <x:c r="E32" t="str">
        <x:v>Oil Station 2</x:v>
      </x:c>
      <x:c r="F32" t="str">
        <x:v>Heating Oil</x:v>
      </x:c>
      <x:c r="G32" s="14" t="n">
        <x:v>0.22296296296296297</x:v>
      </x:c>
      <x:c r="H32"/>
      <x:c r="I32"/>
      <x:c r="J32"/>
      <x:c r="K32"/>
      <x:c r="L32"/>
      <x:c r="M32"/>
      <x:c r="N32"/>
    </x:row>
    <x:row r="33">
      <x:c r="A33" t="n">
        <x:v>187</x:v>
      </x:c>
      <x:c r="B33" s="8" t="n">
        <x:v>46047</x:v>
      </x:c>
      <x:c r="C33" s="16" t="n">
        <x:v>334363</x:v>
      </x:c>
      <x:c r="D33" t="str">
        <x:v>DH-2</x:v>
      </x:c>
      <x:c r="E33" t="str">
        <x:v>Oil Station 2</x:v>
      </x:c>
      <x:c r="F33" t="str">
        <x:v>Heating Oil</x:v>
      </x:c>
      <x:c r="G33" s="14" t="n">
        <x:v>0.8344791666666667</x:v>
      </x:c>
      <x:c r="H33"/>
      <x:c r="I33"/>
      <x:c r="J33"/>
      <x:c r="K33"/>
      <x:c r="L33"/>
      <x:c r="M33"/>
      <x:c r="N33"/>
    </x:row>
    <x:row r="34">
      <x:c r="A34" t="n">
        <x:v>197</x:v>
      </x:c>
      <x:c r="B34" s="8" t="n">
        <x:v>46016</x:v>
      </x:c>
      <x:c r="C34" s="16" t="n">
        <x:v>417800</x:v>
      </x:c>
      <x:c r="D34" t="str">
        <x:v>DH-2</x:v>
      </x:c>
      <x:c r="E34" t="str">
        <x:v>Oil Station 2</x:v>
      </x:c>
      <x:c r="F34" t="str">
        <x:v>Heating Oil</x:v>
      </x:c>
      <x:c r="G34" s="14" t="n">
        <x:v>0.8123611111111111</x:v>
      </x:c>
      <x:c r="H34"/>
      <x:c r="I34"/>
      <x:c r="J34"/>
      <x:c r="K34"/>
      <x:c r="L34"/>
      <x:c r="M34"/>
      <x:c r="N34"/>
    </x:row>
    <x:row r="35">
      <x:c r="A35" t="n">
        <x:v>132</x:v>
      </x:c>
      <x:c r="B35" s="8" t="n">
        <x:v>46032</x:v>
      </x:c>
      <x:c r="C35" s="16" t="n">
        <x:v>339043</x:v>
      </x:c>
      <x:c r="D35" t="str">
        <x:v>DH-1</x:v>
      </x:c>
      <x:c r="E35" t="str">
        <x:v>Oil Station 2</x:v>
      </x:c>
      <x:c r="F35" t="str">
        <x:v>Heating Oil</x:v>
      </x:c>
      <x:c r="G35" s="14" t="n">
        <x:v>0.37171296296296297</x:v>
      </x:c>
      <x:c r="H35"/>
      <x:c r="I35"/>
      <x:c r="J35"/>
      <x:c r="K35"/>
      <x:c r="L35"/>
      <x:c r="M35"/>
      <x:c r="N35"/>
    </x:row>
    <x:row r="36">
      <x:c r="A36" t="n">
        <x:v>156</x:v>
      </x:c>
      <x:c r="B36" s="8" t="n">
        <x:v>45976</x:v>
      </x:c>
      <x:c r="C36" s="16" t="n">
        <x:v>459678</x:v>
      </x:c>
      <x:c r="D36" t="str">
        <x:v>DH-1</x:v>
      </x:c>
      <x:c r="E36" t="str">
        <x:v>Oil Station 2</x:v>
      </x:c>
      <x:c r="F36" t="str">
        <x:v>Heating Oil</x:v>
      </x:c>
      <x:c r="G36" s="14" t="n">
        <x:v>0.12087962962962963</x:v>
      </x:c>
      <x:c r="H36"/>
      <x:c r="I36"/>
      <x:c r="J36"/>
      <x:c r="K36"/>
      <x:c r="L36"/>
      <x:c r="M36"/>
      <x:c r="N36"/>
    </x:row>
    <x:row r="37">
      <x:c r="A37" t="n">
        <x:v>174</x:v>
      </x:c>
      <x:c r="B37" s="8" t="n">
        <x:v>46018</x:v>
      </x:c>
      <x:c r="C37" s="16" t="n">
        <x:v>351808</x:v>
      </x:c>
      <x:c r="D37" t="str">
        <x:v>DH-1</x:v>
      </x:c>
      <x:c r="E37" t="str">
        <x:v>Oil Station 2</x:v>
      </x:c>
      <x:c r="F37" t="str">
        <x:v>Heating Oil</x:v>
      </x:c>
      <x:c r="G37" s="14" t="n">
        <x:v>0.8585532407407407</x:v>
      </x:c>
      <x:c r="H37"/>
      <x:c r="I37"/>
      <x:c r="J37"/>
      <x:c r="K37"/>
      <x:c r="L37"/>
      <x:c r="M37"/>
      <x:c r="N37"/>
    </x:row>
    <x:row r="38">
      <x:c r="A38" t="n">
        <x:v>179</x:v>
      </x:c>
      <x:c r="B38" s="8" t="n">
        <x:v>46051</x:v>
      </x:c>
      <x:c r="C38" s="16" t="n">
        <x:v>320287</x:v>
      </x:c>
      <x:c r="D38" t="str">
        <x:v>DH-1</x:v>
      </x:c>
      <x:c r="E38" t="str">
        <x:v>Oil Station 2</x:v>
      </x:c>
      <x:c r="F38" t="str">
        <x:v>Heating Oil</x:v>
      </x:c>
      <x:c r="G38" s="14" t="n">
        <x:v>0.28226851851851853</x:v>
      </x:c>
      <x:c r="H38"/>
      <x:c r="I38"/>
      <x:c r="J38"/>
      <x:c r="K38"/>
      <x:c r="L38"/>
      <x:c r="M38"/>
      <x:c r="N38"/>
    </x:row>
    <x:row r="39">
      <x:c r="A39" t="n">
        <x:v>188</x:v>
      </x:c>
      <x:c r="B39" s="8" t="n">
        <x:v>46025</x:v>
      </x:c>
      <x:c r="C39" s="16" t="n">
        <x:v>350771</x:v>
      </x:c>
      <x:c r="D39" t="str">
        <x:v>DH-1</x:v>
      </x:c>
      <x:c r="E39" t="str">
        <x:v>Oil Station 2</x:v>
      </x:c>
      <x:c r="F39" t="str">
        <x:v>Heating Oil</x:v>
      </x:c>
      <x:c r="G39" s="14" t="n">
        <x:v>0.6608217592592592</x:v>
      </x:c>
      <x:c r="H39"/>
      <x:c r="I39"/>
      <x:c r="J39"/>
      <x:c r="K39"/>
      <x:c r="L39"/>
      <x:c r="M39"/>
      <x:c r="N39"/>
    </x:row>
    <x:row r="40">
      <x:c r="A40" t="n">
        <x:v>221</x:v>
      </x:c>
      <x:c r="B40" s="8" t="n">
        <x:v>46017</x:v>
      </x:c>
      <x:c r="C40" s="16" t="n">
        <x:v>352542</x:v>
      </x:c>
      <x:c r="D40" t="str">
        <x:v>DH-1</x:v>
      </x:c>
      <x:c r="E40" t="str">
        <x:v>Oil Station 2</x:v>
      </x:c>
      <x:c r="F40" t="str">
        <x:v>Heating Oil</x:v>
      </x:c>
      <x:c r="G40" s="14" t="n">
        <x:v>0.8495717592592592</x:v>
      </x:c>
      <x:c r="H40"/>
      <x:c r="I40"/>
      <x:c r="J40"/>
      <x:c r="K40"/>
      <x:c r="L40"/>
      <x:c r="M40"/>
      <x:c r="N40"/>
    </x:row>
    <x:row r="41">
      <x:c r="A41" t="n">
        <x:v>151</x:v>
      </x:c>
      <x:c r="B41" s="8" t="n">
        <x:v>45986</x:v>
      </x:c>
      <x:c r="C41" s="16" t="n">
        <x:v>464059</x:v>
      </x:c>
      <x:c r="D41" t="str">
        <x:v>DH-3</x:v>
      </x:c>
      <x:c r="E41" t="str">
        <x:v>Oil Station 3</x:v>
      </x:c>
      <x:c r="F41" t="str">
        <x:v>Heating Oil</x:v>
      </x:c>
      <x:c r="G41" s="14" t="n">
        <x:v>0.8339930555555556</x:v>
      </x:c>
      <x:c r="H41"/>
      <x:c r="I41"/>
      <x:c r="J41"/>
      <x:c r="K41"/>
      <x:c r="L41"/>
      <x:c r="M41"/>
      <x:c r="N41"/>
    </x:row>
    <x:row r="42">
      <x:c r="A42" t="n">
        <x:v>155</x:v>
      </x:c>
      <x:c r="B42" s="8" t="n">
        <x:v>46032</x:v>
      </x:c>
      <x:c r="C42" s="16" t="n">
        <x:v>368829</x:v>
      </x:c>
      <x:c r="D42" t="str">
        <x:v>DH-3</x:v>
      </x:c>
      <x:c r="E42" t="str">
        <x:v>Oil Station 3</x:v>
      </x:c>
      <x:c r="F42" t="str">
        <x:v>Heating Oil</x:v>
      </x:c>
      <x:c r="G42" s="14" t="n">
        <x:v>0.22171296296296297</x:v>
      </x:c>
      <x:c r="H42"/>
      <x:c r="I42"/>
      <x:c r="J42"/>
      <x:c r="K42"/>
      <x:c r="L42"/>
      <x:c r="M42"/>
      <x:c r="N42"/>
    </x:row>
    <x:row r="43">
      <x:c r="A43" t="n">
        <x:v>131</x:v>
      </x:c>
      <x:c r="B43" s="8" t="n">
        <x:v>45993</x:v>
      </x:c>
      <x:c r="C43" s="16" t="n">
        <x:v>399100</x:v>
      </x:c>
      <x:c r="D43" t="str">
        <x:v>DH-2</x:v>
      </x:c>
      <x:c r="E43" t="str">
        <x:v>Oil Station 3</x:v>
      </x:c>
      <x:c r="F43" t="str">
        <x:v>Heating Oil</x:v>
      </x:c>
      <x:c r="G43" s="14" t="n">
        <x:v>0.715462962962963</x:v>
      </x:c>
      <x:c r="H43"/>
      <x:c r="I43"/>
      <x:c r="J43"/>
      <x:c r="K43"/>
      <x:c r="L43"/>
      <x:c r="M43"/>
      <x:c r="N43"/>
    </x:row>
    <x:row r="44">
      <x:c r="A44" t="n">
        <x:v>149</x:v>
      </x:c>
      <x:c r="B44" s="8" t="n">
        <x:v>45978</x:v>
      </x:c>
      <x:c r="C44" s="16" t="n">
        <x:v>385860</x:v>
      </x:c>
      <x:c r="D44" t="str">
        <x:v>DH-2</x:v>
      </x:c>
      <x:c r="E44" t="str">
        <x:v>Oil Station 3</x:v>
      </x:c>
      <x:c r="F44" t="str">
        <x:v>Heating Oil</x:v>
      </x:c>
      <x:c r="G44" s="14" t="n">
        <x:v>0.7388657407407407</x:v>
      </x:c>
      <x:c r="H44"/>
      <x:c r="I44"/>
      <x:c r="J44"/>
      <x:c r="K44"/>
      <x:c r="L44"/>
      <x:c r="M44"/>
      <x:c r="N44"/>
    </x:row>
    <x:row r="45">
      <x:c r="A45" t="n">
        <x:v>199</x:v>
      </x:c>
      <x:c r="B45" s="8" t="n">
        <x:v>46027</x:v>
      </x:c>
      <x:c r="C45" s="16" t="n">
        <x:v>476564</x:v>
      </x:c>
      <x:c r="D45" t="str">
        <x:v>DH-2</x:v>
      </x:c>
      <x:c r="E45" t="str">
        <x:v>Oil Station 3</x:v>
      </x:c>
      <x:c r="F45" t="str">
        <x:v>Heating Oil</x:v>
      </x:c>
      <x:c r="G45" s="14" t="n">
        <x:v>0.31439814814814815</x:v>
      </x:c>
      <x:c r="H45"/>
      <x:c r="I45"/>
      <x:c r="J45"/>
      <x:c r="K45"/>
      <x:c r="L45"/>
      <x:c r="M45"/>
      <x:c r="N45"/>
    </x:row>
    <x:row r="46">
      <x:c r="A46" t="n">
        <x:v>204</x:v>
      </x:c>
      <x:c r="B46" s="8" t="n">
        <x:v>45977</x:v>
      </x:c>
      <x:c r="C46" s="16" t="n">
        <x:v>379135</x:v>
      </x:c>
      <x:c r="D46" t="str">
        <x:v>DH-2</x:v>
      </x:c>
      <x:c r="E46" t="str">
        <x:v>Oil Station 3</x:v>
      </x:c>
      <x:c r="F46" t="str">
        <x:v>Heating Oil</x:v>
      </x:c>
      <x:c r="G46" s="14" t="n">
        <x:v>0.8051273148148148</x:v>
      </x:c>
      <x:c r="H46"/>
      <x:c r="I46"/>
      <x:c r="J46"/>
      <x:c r="K46"/>
      <x:c r="L46"/>
      <x:c r="M46"/>
      <x:c r="N46"/>
    </x:row>
    <x:row r="47">
      <x:c r="A47" t="n">
        <x:v>206</x:v>
      </x:c>
      <x:c r="B47" s="8" t="n">
        <x:v>46040</x:v>
      </x:c>
      <x:c r="C47" s="16" t="n">
        <x:v>464767</x:v>
      </x:c>
      <x:c r="D47" t="str">
        <x:v>DH-2</x:v>
      </x:c>
      <x:c r="E47" t="str">
        <x:v>Oil Station 3</x:v>
      </x:c>
      <x:c r="F47" t="str">
        <x:v>Jet Fuel</x:v>
      </x:c>
      <x:c r="G47" s="14" t="n">
        <x:v>0.5926736111111112</x:v>
      </x:c>
      <x:c r="H47"/>
      <x:c r="I47"/>
      <x:c r="J47"/>
      <x:c r="K47"/>
      <x:c r="L47"/>
      <x:c r="M47"/>
      <x:c r="N47"/>
    </x:row>
    <x:row r="48">
      <x:c r="A48" t="n">
        <x:v>225</x:v>
      </x:c>
      <x:c r="B48" s="8" t="n">
        <x:v>45986</x:v>
      </x:c>
      <x:c r="C48" s="16" t="n">
        <x:v>337769</x:v>
      </x:c>
      <x:c r="D48" t="str">
        <x:v>DH-2</x:v>
      </x:c>
      <x:c r="E48" t="str">
        <x:v>Oil Station 3</x:v>
      </x:c>
      <x:c r="F48" t="str">
        <x:v>Jet Fuel</x:v>
      </x:c>
      <x:c r="G48" s="14" t="n">
        <x:v>0.43495370370370373</x:v>
      </x:c>
      <x:c r="H48"/>
      <x:c r="I48"/>
      <x:c r="J48"/>
      <x:c r="K48"/>
      <x:c r="L48"/>
      <x:c r="M48"/>
      <x:c r="N48"/>
    </x:row>
    <x:row r="49">
      <x:c r="A49" t="n">
        <x:v>134</x:v>
      </x:c>
      <x:c r="B49" s="8" t="n">
        <x:v>46014</x:v>
      </x:c>
      <x:c r="C49" s="16" t="n">
        <x:v>369002</x:v>
      </x:c>
      <x:c r="D49" t="str">
        <x:v>DH-1</x:v>
      </x:c>
      <x:c r="E49" t="str">
        <x:v>Oil Station 3</x:v>
      </x:c>
      <x:c r="F49" t="str">
        <x:v>Jet Fuel</x:v>
      </x:c>
      <x:c r="G49" s="14" t="n">
        <x:v>0.736099537037037</x:v>
      </x:c>
      <x:c r="H49"/>
      <x:c r="I49"/>
      <x:c r="J49"/>
      <x:c r="K49"/>
      <x:c r="L49"/>
      <x:c r="M49"/>
      <x:c r="N49"/>
    </x:row>
    <x:row r="50">
      <x:c r="A50" t="n">
        <x:v>139</x:v>
      </x:c>
      <x:c r="B50" s="8" t="n">
        <x:v>46035</x:v>
      </x:c>
      <x:c r="C50" s="16" t="n">
        <x:v>335367</x:v>
      </x:c>
      <x:c r="D50" t="str">
        <x:v>DH-1</x:v>
      </x:c>
      <x:c r="E50" t="str">
        <x:v>Oil Station 3</x:v>
      </x:c>
      <x:c r="F50" t="str">
        <x:v>Jet Fuel</x:v>
      </x:c>
      <x:c r="G50" s="14" t="n">
        <x:v>0.9234143518518518</x:v>
      </x:c>
      <x:c r="H50"/>
      <x:c r="I50"/>
      <x:c r="J50"/>
      <x:c r="K50"/>
      <x:c r="L50"/>
      <x:c r="M50"/>
      <x:c r="N50"/>
    </x:row>
    <x:row r="51">
      <x:c r="A51" t="n">
        <x:v>140</x:v>
      </x:c>
      <x:c r="B51" s="8" t="n">
        <x:v>46052</x:v>
      </x:c>
      <x:c r="C51" s="16" t="n">
        <x:v>391783</x:v>
      </x:c>
      <x:c r="D51" t="str">
        <x:v>DH-1</x:v>
      </x:c>
      <x:c r="E51" t="str">
        <x:v>Oil Station 3</x:v>
      </x:c>
      <x:c r="F51" t="str">
        <x:v>Jet Fuel</x:v>
      </x:c>
      <x:c r="G51" s="14" t="n">
        <x:v>0.633900462962963</x:v>
      </x:c>
      <x:c r="H51"/>
      <x:c r="I51"/>
      <x:c r="J51"/>
      <x:c r="K51"/>
      <x:c r="L51"/>
      <x:c r="M51"/>
      <x:c r="N51"/>
    </x:row>
    <x:row r="52">
      <x:c r="A52" t="n">
        <x:v>169</x:v>
      </x:c>
      <x:c r="B52" s="8" t="n">
        <x:v>46012</x:v>
      </x:c>
      <x:c r="C52" s="16" t="n">
        <x:v>489584</x:v>
      </x:c>
      <x:c r="D52" t="str">
        <x:v>DH-1</x:v>
      </x:c>
      <x:c r="E52" t="str">
        <x:v>Oil Station 3</x:v>
      </x:c>
      <x:c r="F52" t="str">
        <x:v>Jet Fuel</x:v>
      </x:c>
      <x:c r="G52" s="14" t="n">
        <x:v>0.86125</x:v>
      </x:c>
      <x:c r="H52"/>
      <x:c r="I52"/>
      <x:c r="J52"/>
      <x:c r="K52"/>
      <x:c r="L52"/>
      <x:c r="M52"/>
      <x:c r="N52"/>
    </x:row>
    <x:row r="53">
      <x:c r="A53" t="n">
        <x:v>171</x:v>
      </x:c>
      <x:c r="B53" s="8" t="n">
        <x:v>46000</x:v>
      </x:c>
      <x:c r="C53" s="16" t="n">
        <x:v>426344</x:v>
      </x:c>
      <x:c r="D53" t="str">
        <x:v>DH-1</x:v>
      </x:c>
      <x:c r="E53" t="str">
        <x:v>Oil Station 3</x:v>
      </x:c>
      <x:c r="F53" t="str">
        <x:v>Jet Fuel</x:v>
      </x:c>
      <x:c r="G53" s="14" t="n">
        <x:v>0.8157523148148148</x:v>
      </x:c>
      <x:c r="H53"/>
      <x:c r="I53"/>
      <x:c r="J53"/>
      <x:c r="K53"/>
      <x:c r="L53"/>
      <x:c r="M53"/>
      <x:c r="N53"/>
    </x:row>
    <x:row r="54">
      <x:c r="A54" t="n">
        <x:v>135</x:v>
      </x:c>
      <x:c r="B54" s="8" t="n">
        <x:v>46020</x:v>
      </x:c>
      <x:c r="C54" s="16" t="n">
        <x:v>459617</x:v>
      </x:c>
      <x:c r="D54" t="str">
        <x:v>DH-3</x:v>
      </x:c>
      <x:c r="E54" t="str">
        <x:v>Oil Station 4</x:v>
      </x:c>
      <x:c r="F54" t="str">
        <x:v>Jet Fuel</x:v>
      </x:c>
      <x:c r="G54" s="14" t="n">
        <x:v>0.05334490740740741</x:v>
      </x:c>
      <x:c r="H54"/>
      <x:c r="I54"/>
      <x:c r="J54"/>
      <x:c r="K54"/>
      <x:c r="L54"/>
      <x:c r="M54"/>
      <x:c r="N54"/>
    </x:row>
    <x:row r="55">
      <x:c r="A55" t="n">
        <x:v>144</x:v>
      </x:c>
      <x:c r="B55" s="8" t="n">
        <x:v>46041</x:v>
      </x:c>
      <x:c r="C55" s="16" t="n">
        <x:v>429186</x:v>
      </x:c>
      <x:c r="D55" t="str">
        <x:v>DH-3</x:v>
      </x:c>
      <x:c r="E55" t="str">
        <x:v>Oil Station 4</x:v>
      </x:c>
      <x:c r="F55" t="str">
        <x:v>Jet Fuel</x:v>
      </x:c>
      <x:c r="G55" s="14" t="n">
        <x:v>0.11820601851851852</x:v>
      </x:c>
      <x:c r="H55"/>
      <x:c r="I55"/>
      <x:c r="J55"/>
      <x:c r="K55"/>
      <x:c r="L55"/>
      <x:c r="M55"/>
      <x:c r="N55"/>
    </x:row>
    <x:row r="56">
      <x:c r="A56" t="n">
        <x:v>147</x:v>
      </x:c>
      <x:c r="B56" s="8" t="n">
        <x:v>46026</x:v>
      </x:c>
      <x:c r="C56" s="16" t="n">
        <x:v>452111</x:v>
      </x:c>
      <x:c r="D56" t="str">
        <x:v>DH-3</x:v>
      </x:c>
      <x:c r="E56" t="str">
        <x:v>Oil Station 4</x:v>
      </x:c>
      <x:c r="F56" t="str">
        <x:v>Jet Fuel</x:v>
      </x:c>
      <x:c r="G56" s="14" t="n">
        <x:v>0.40706018518518516</x:v>
      </x:c>
      <x:c r="H56"/>
      <x:c r="I56"/>
      <x:c r="J56"/>
      <x:c r="K56"/>
      <x:c r="L56"/>
      <x:c r="M56"/>
      <x:c r="N56"/>
    </x:row>
    <x:row r="57">
      <x:c r="A57" t="n">
        <x:v>150</x:v>
      </x:c>
      <x:c r="B57" s="8" t="n">
        <x:v>46036</x:v>
      </x:c>
      <x:c r="C57" s="16" t="n">
        <x:v>482218</x:v>
      </x:c>
      <x:c r="D57" t="str">
        <x:v>DH-3</x:v>
      </x:c>
      <x:c r="E57" t="str">
        <x:v>Oil Station 4</x:v>
      </x:c>
      <x:c r="F57" t="str">
        <x:v>Jet Fuel</x:v>
      </x:c>
      <x:c r="G57" s="14" t="n">
        <x:v>0.3562037037037037</x:v>
      </x:c>
      <x:c r="H57"/>
      <x:c r="I57"/>
      <x:c r="J57"/>
      <x:c r="K57"/>
      <x:c r="L57"/>
      <x:c r="M57"/>
      <x:c r="N57"/>
    </x:row>
    <x:row r="58">
      <x:c r="A58" t="n">
        <x:v>152</x:v>
      </x:c>
      <x:c r="B58" s="8" t="n">
        <x:v>46022</x:v>
      </x:c>
      <x:c r="C58" s="16" t="n">
        <x:v>385525</x:v>
      </x:c>
      <x:c r="D58" t="str">
        <x:v>DH-3</x:v>
      </x:c>
      <x:c r="E58" t="str">
        <x:v>Oil Station 4</x:v>
      </x:c>
      <x:c r="F58" t="str">
        <x:v>Jet Fuel</x:v>
      </x:c>
      <x:c r="G58" s="14" t="n">
        <x:v>0.9100810185185185</x:v>
      </x:c>
      <x:c r="H58"/>
      <x:c r="I58"/>
      <x:c r="J58"/>
      <x:c r="K58"/>
      <x:c r="L58"/>
      <x:c r="M58"/>
      <x:c r="N58"/>
    </x:row>
    <x:row r="59">
      <x:c r="A59" t="n">
        <x:v>183</x:v>
      </x:c>
      <x:c r="B59" s="8" t="n">
        <x:v>46032</x:v>
      </x:c>
      <x:c r="C59" s="16" t="n">
        <x:v>487707</x:v>
      </x:c>
      <x:c r="D59" t="str">
        <x:v>DH-3</x:v>
      </x:c>
      <x:c r="E59" t="str">
        <x:v>Oil Station 4</x:v>
      </x:c>
      <x:c r="F59" t="str">
        <x:v>Jet Fuel</x:v>
      </x:c>
      <x:c r="G59" s="14" t="n">
        <x:v>0.3910416666666667</x:v>
      </x:c>
      <x:c r="H59"/>
      <x:c r="I59"/>
      <x:c r="J59"/>
      <x:c r="K59"/>
      <x:c r="L59"/>
      <x:c r="M59"/>
      <x:c r="N59"/>
    </x:row>
    <x:row r="60">
      <x:c r="A60" t="n">
        <x:v>207</x:v>
      </x:c>
      <x:c r="B60" s="8" t="n">
        <x:v>45980</x:v>
      </x:c>
      <x:c r="C60" s="16" t="n">
        <x:v>393606</x:v>
      </x:c>
      <x:c r="D60" t="str">
        <x:v>DH-3</x:v>
      </x:c>
      <x:c r="E60" t="str">
        <x:v>Oil Station 4</x:v>
      </x:c>
      <x:c r="F60" t="str">
        <x:v>Jet Fuel</x:v>
      </x:c>
      <x:c r="G60" s="14" t="n">
        <x:v>0.39871527777777777</x:v>
      </x:c>
      <x:c r="H60"/>
      <x:c r="I60"/>
      <x:c r="J60"/>
      <x:c r="K60"/>
      <x:c r="L60"/>
      <x:c r="M60"/>
      <x:c r="N60"/>
    </x:row>
    <x:row r="61">
      <x:c r="A61" t="n">
        <x:v>128</x:v>
      </x:c>
      <x:c r="B61" s="8" t="n">
        <x:v>46005</x:v>
      </x:c>
      <x:c r="C61" s="16" t="n">
        <x:v>346987</x:v>
      </x:c>
      <x:c r="D61" t="str">
        <x:v>DH-2</x:v>
      </x:c>
      <x:c r="E61" t="str">
        <x:v>Oil Station 4</x:v>
      </x:c>
      <x:c r="F61" t="str">
        <x:v>Jet Fuel</x:v>
      </x:c>
      <x:c r="G61" s="14" t="n">
        <x:v>0.37872685185185184</x:v>
      </x:c>
      <x:c r="H61"/>
      <x:c r="I61"/>
      <x:c r="J61"/>
      <x:c r="K61"/>
      <x:c r="L61"/>
      <x:c r="M61"/>
      <x:c r="N61"/>
    </x:row>
    <x:row r="62">
      <x:c r="A62" t="n">
        <x:v>153</x:v>
      </x:c>
      <x:c r="B62" s="8" t="n">
        <x:v>46048</x:v>
      </x:c>
      <x:c r="C62" s="16" t="n">
        <x:v>444349</x:v>
      </x:c>
      <x:c r="D62" t="str">
        <x:v>DH-2</x:v>
      </x:c>
      <x:c r="E62" t="str">
        <x:v>Oil Station 4</x:v>
      </x:c>
      <x:c r="F62" t="str">
        <x:v>Jet Fuel</x:v>
      </x:c>
      <x:c r="G62" s="14" t="n">
        <x:v>0.4300462962962963</x:v>
      </x:c>
      <x:c r="H62"/>
      <x:c r="I62"/>
      <x:c r="J62"/>
      <x:c r="K62"/>
      <x:c r="L62"/>
      <x:c r="M62"/>
      <x:c r="N62"/>
    </x:row>
    <x:row r="63">
      <x:c r="A63" t="n">
        <x:v>162</x:v>
      </x:c>
      <x:c r="B63" s="8" t="n">
        <x:v>46005</x:v>
      </x:c>
      <x:c r="C63" s="16" t="n">
        <x:v>392055</x:v>
      </x:c>
      <x:c r="D63" t="str">
        <x:v>DH-2</x:v>
      </x:c>
      <x:c r="E63" t="str">
        <x:v>Oil Station 4</x:v>
      </x:c>
      <x:c r="F63" t="str">
        <x:v>Jet Fuel</x:v>
      </x:c>
      <x:c r="G63" s="14" t="n">
        <x:v>0.4666898148148148</x:v>
      </x:c>
      <x:c r="H63"/>
      <x:c r="I63"/>
      <x:c r="J63"/>
      <x:c r="K63"/>
      <x:c r="L63"/>
      <x:c r="M63"/>
      <x:c r="N63"/>
    </x:row>
    <x:row r="64">
      <x:c r="A64" t="n">
        <x:v>177</x:v>
      </x:c>
      <x:c r="B64" s="8" t="n">
        <x:v>46029</x:v>
      </x:c>
      <x:c r="C64" s="16" t="n">
        <x:v>474747</x:v>
      </x:c>
      <x:c r="D64" t="str">
        <x:v>DH-2</x:v>
      </x:c>
      <x:c r="E64" t="str">
        <x:v>Oil Station 4</x:v>
      </x:c>
      <x:c r="F64" t="str">
        <x:v>Jet Fuel</x:v>
      </x:c>
      <x:c r="G64" s="14" t="n">
        <x:v>0.4272337962962963</x:v>
      </x:c>
      <x:c r="H64"/>
      <x:c r="I64"/>
      <x:c r="J64"/>
      <x:c r="K64"/>
      <x:c r="L64"/>
      <x:c r="M64"/>
      <x:c r="N64"/>
    </x:row>
    <x:row r="65">
      <x:c r="A65" t="n">
        <x:v>182</x:v>
      </x:c>
      <x:c r="B65" s="8" t="n">
        <x:v>46011</x:v>
      </x:c>
      <x:c r="C65" s="16" t="n">
        <x:v>374388</x:v>
      </x:c>
      <x:c r="D65" t="str">
        <x:v>DH-2</x:v>
      </x:c>
      <x:c r="E65" t="str">
        <x:v>Oil Station 4</x:v>
      </x:c>
      <x:c r="F65" t="str">
        <x:v>Jet Fuel</x:v>
      </x:c>
      <x:c r="G65" s="14" t="n">
        <x:v>0.8010185185185185</x:v>
      </x:c>
      <x:c r="H65"/>
      <x:c r="I65"/>
      <x:c r="J65"/>
      <x:c r="K65"/>
      <x:c r="L65"/>
      <x:c r="M65"/>
      <x:c r="N65"/>
    </x:row>
    <x:row r="66">
      <x:c r="A66" t="n">
        <x:v>202</x:v>
      </x:c>
      <x:c r="B66" s="8" t="n">
        <x:v>46041</x:v>
      </x:c>
      <x:c r="C66" s="16" t="n">
        <x:v>301639</x:v>
      </x:c>
      <x:c r="D66" t="str">
        <x:v>DH-2</x:v>
      </x:c>
      <x:c r="E66" t="str">
        <x:v>Oil Station 4</x:v>
      </x:c>
      <x:c r="F66" t="str">
        <x:v>Jet Fuel</x:v>
      </x:c>
      <x:c r="G66" s="14" t="n">
        <x:v>0.7980671296296297</x:v>
      </x:c>
      <x:c r="H66"/>
      <x:c r="I66"/>
      <x:c r="J66"/>
      <x:c r="K66"/>
      <x:c r="L66"/>
      <x:c r="M66"/>
      <x:c r="N66"/>
    </x:row>
    <x:row r="67">
      <x:c r="A67" t="n">
        <x:v>214</x:v>
      </x:c>
      <x:c r="B67" s="8" t="n">
        <x:v>46022</x:v>
      </x:c>
      <x:c r="C67" s="16" t="n">
        <x:v>367163</x:v>
      </x:c>
      <x:c r="D67" t="str">
        <x:v>DH-2</x:v>
      </x:c>
      <x:c r="E67" t="str">
        <x:v>Oil Station 4</x:v>
      </x:c>
      <x:c r="F67" t="str">
        <x:v>Jet Fuel</x:v>
      </x:c>
      <x:c r="G67" s="14" t="n">
        <x:v>0.18435185185185185</x:v>
      </x:c>
      <x:c r="H67"/>
      <x:c r="I67"/>
      <x:c r="J67"/>
      <x:c r="K67"/>
      <x:c r="L67"/>
      <x:c r="M67"/>
      <x:c r="N67"/>
    </x:row>
    <x:row r="68">
      <x:c r="A68" t="n">
        <x:v>223</x:v>
      </x:c>
      <x:c r="B68" s="8" t="n">
        <x:v>45982</x:v>
      </x:c>
      <x:c r="C68" s="16" t="n">
        <x:v>462999</x:v>
      </x:c>
      <x:c r="D68" t="str">
        <x:v>DH-2</x:v>
      </x:c>
      <x:c r="E68" t="str">
        <x:v>Oil Station 4</x:v>
      </x:c>
      <x:c r="F68" t="str">
        <x:v>LPG</x:v>
      </x:c>
      <x:c r="G68" s="14" t="n">
        <x:v>0.2408449074074074</x:v>
      </x:c>
      <x:c r="H68"/>
      <x:c r="I68"/>
      <x:c r="J68"/>
      <x:c r="K68"/>
      <x:c r="L68"/>
      <x:c r="M68"/>
      <x:c r="N68"/>
    </x:row>
    <x:row r="69">
      <x:c r="A69" t="n">
        <x:v>130</x:v>
      </x:c>
      <x:c r="B69" s="8" t="n">
        <x:v>46024</x:v>
      </x:c>
      <x:c r="C69" s="16" t="n">
        <x:v>392254</x:v>
      </x:c>
      <x:c r="D69" t="str">
        <x:v>DH-1</x:v>
      </x:c>
      <x:c r="E69" t="str">
        <x:v>Oil Station 4</x:v>
      </x:c>
      <x:c r="F69" t="str">
        <x:v>LPG</x:v>
      </x:c>
      <x:c r="G69" s="14" t="n">
        <x:v>0.33743055555555557</x:v>
      </x:c>
      <x:c r="H69"/>
      <x:c r="I69"/>
      <x:c r="J69"/>
      <x:c r="K69"/>
      <x:c r="L69"/>
      <x:c r="M69"/>
      <x:c r="N69"/>
    </x:row>
    <x:row r="70">
      <x:c r="A70" t="n">
        <x:v>136</x:v>
      </x:c>
      <x:c r="B70" s="8" t="n">
        <x:v>46033</x:v>
      </x:c>
      <x:c r="C70" s="16" t="n">
        <x:v>332981</x:v>
      </x:c>
      <x:c r="D70" t="str">
        <x:v>DH-1</x:v>
      </x:c>
      <x:c r="E70" t="str">
        <x:v>Oil Station 4</x:v>
      </x:c>
      <x:c r="F70" t="str">
        <x:v>LPG</x:v>
      </x:c>
      <x:c r="G70" s="14" t="n">
        <x:v>0.9245833333333333</x:v>
      </x:c>
      <x:c r="H70"/>
      <x:c r="I70"/>
      <x:c r="J70"/>
      <x:c r="K70"/>
      <x:c r="L70"/>
      <x:c r="M70"/>
      <x:c r="N70"/>
    </x:row>
    <x:row r="71">
      <x:c r="A71" t="n">
        <x:v>170</x:v>
      </x:c>
      <x:c r="B71" s="8" t="n">
        <x:v>45994</x:v>
      </x:c>
      <x:c r="C71" s="16" t="n">
        <x:v>472413</x:v>
      </x:c>
      <x:c r="D71" t="str">
        <x:v>DH-1</x:v>
      </x:c>
      <x:c r="E71" t="str">
        <x:v>Oil Station 4</x:v>
      </x:c>
      <x:c r="F71" t="str">
        <x:v>LPG</x:v>
      </x:c>
      <x:c r="G71" s="14" t="n">
        <x:v>0.1728125</x:v>
      </x:c>
      <x:c r="H71"/>
      <x:c r="I71"/>
      <x:c r="J71"/>
      <x:c r="K71"/>
      <x:c r="L71"/>
      <x:c r="M71"/>
      <x:c r="N71"/>
    </x:row>
    <x:row r="72">
      <x:c r="A72" t="n">
        <x:v>172</x:v>
      </x:c>
      <x:c r="B72" s="8" t="n">
        <x:v>45986</x:v>
      </x:c>
      <x:c r="C72" s="16" t="n">
        <x:v>394490</x:v>
      </x:c>
      <x:c r="D72" t="str">
        <x:v>DH-1</x:v>
      </x:c>
      <x:c r="E72" t="str">
        <x:v>Oil Station 4</x:v>
      </x:c>
      <x:c r="F72" t="str">
        <x:v>LPG</x:v>
      </x:c>
      <x:c r="G72" s="14" t="n">
        <x:v>0.8083217592592593</x:v>
      </x:c>
      <x:c r="H72"/>
      <x:c r="I72"/>
      <x:c r="J72"/>
      <x:c r="K72"/>
      <x:c r="L72"/>
      <x:c r="M72"/>
      <x:c r="N72"/>
    </x:row>
    <x:row r="73">
      <x:c r="A73" t="n">
        <x:v>175</x:v>
      </x:c>
      <x:c r="B73" s="8" t="n">
        <x:v>46003</x:v>
      </x:c>
      <x:c r="C73" s="16" t="n">
        <x:v>376101</x:v>
      </x:c>
      <x:c r="D73" t="str">
        <x:v>DH-1</x:v>
      </x:c>
      <x:c r="E73" t="str">
        <x:v>Oil Station 4</x:v>
      </x:c>
      <x:c r="F73" t="str">
        <x:v>LPG</x:v>
      </x:c>
      <x:c r="G73" s="14" t="n">
        <x:v>0.12560185185185185</x:v>
      </x:c>
      <x:c r="H73"/>
      <x:c r="I73"/>
      <x:c r="J73"/>
      <x:c r="K73"/>
      <x:c r="L73"/>
      <x:c r="M73"/>
      <x:c r="N73"/>
    </x:row>
    <x:row r="74">
      <x:c r="A74" t="n">
        <x:v>180</x:v>
      </x:c>
      <x:c r="B74" s="8" t="n">
        <x:v>46043</x:v>
      </x:c>
      <x:c r="C74" s="16" t="n">
        <x:v>480446</x:v>
      </x:c>
      <x:c r="D74" t="str">
        <x:v>DH-1</x:v>
      </x:c>
      <x:c r="E74" t="str">
        <x:v>Oil Station 4</x:v>
      </x:c>
      <x:c r="F74" t="str">
        <x:v>LPG</x:v>
      </x:c>
      <x:c r="G74" s="14" t="n">
        <x:v>0.31833333333333336</x:v>
      </x:c>
      <x:c r="H74"/>
      <x:c r="I74"/>
      <x:c r="J74"/>
      <x:c r="K74"/>
      <x:c r="L74"/>
      <x:c r="M74"/>
      <x:c r="N74"/>
    </x:row>
    <x:row r="75">
      <x:c r="A75" t="n">
        <x:v>218</x:v>
      </x:c>
      <x:c r="B75" s="8" t="n">
        <x:v>46042</x:v>
      </x:c>
      <x:c r="C75" s="16" t="n">
        <x:v>445874</x:v>
      </x:c>
      <x:c r="D75" t="str">
        <x:v>DH-1</x:v>
      </x:c>
      <x:c r="E75" t="str">
        <x:v>Oil Station 4</x:v>
      </x:c>
      <x:c r="F75" t="str">
        <x:v>LPG</x:v>
      </x:c>
      <x:c r="G75" s="14" t="n">
        <x:v>0.3620949074074074</x:v>
      </x:c>
      <x:c r="H75"/>
      <x:c r="I75"/>
      <x:c r="J75"/>
      <x:c r="K75"/>
      <x:c r="L75"/>
      <x:c r="M75"/>
      <x:c r="N75"/>
    </x:row>
    <x:row r="76">
      <x:c r="A76" t="n">
        <x:v>224</x:v>
      </x:c>
      <x:c r="B76" s="8" t="n">
        <x:v>46033</x:v>
      </x:c>
      <x:c r="C76" s="16" t="n">
        <x:v>413309</x:v>
      </x:c>
      <x:c r="D76" t="str">
        <x:v>DH-1</x:v>
      </x:c>
      <x:c r="E76" t="str">
        <x:v>Oil Station 4</x:v>
      </x:c>
      <x:c r="F76" t="str">
        <x:v>LPG</x:v>
      </x:c>
      <x:c r="G76" s="14" t="n">
        <x:v>0.23998842592592592</x:v>
      </x:c>
      <x:c r="H76"/>
      <x:c r="I76"/>
      <x:c r="J76"/>
      <x:c r="K76"/>
      <x:c r="L76"/>
      <x:c r="M76"/>
      <x:c r="N76"/>
    </x:row>
    <x:row r="77">
      <x:c r="A77" t="n">
        <x:v>167</x:v>
      </x:c>
      <x:c r="B77" s="8" t="n">
        <x:v>45970</x:v>
      </x:c>
      <x:c r="C77" s="16" t="n">
        <x:v>328747</x:v>
      </x:c>
      <x:c r="D77" t="str">
        <x:v>DH-3</x:v>
      </x:c>
      <x:c r="E77" t="str">
        <x:v>Gas Station 1</x:v>
      </x:c>
      <x:c r="F77" t="str">
        <x:v>LPG</x:v>
      </x:c>
      <x:c r="G77" s="14" t="n">
        <x:v>0.9206018518518518</x:v>
      </x:c>
      <x:c r="H77"/>
      <x:c r="I77"/>
      <x:c r="J77"/>
      <x:c r="K77"/>
      <x:c r="L77"/>
      <x:c r="M77"/>
      <x:c r="N77"/>
    </x:row>
    <x:row r="78">
      <x:c r="A78" t="n">
        <x:v>212</x:v>
      </x:c>
      <x:c r="B78" s="8" t="n">
        <x:v>46053</x:v>
      </x:c>
      <x:c r="C78" s="16" t="n">
        <x:v>376050</x:v>
      </x:c>
      <x:c r="D78" t="str">
        <x:v>DH-3</x:v>
      </x:c>
      <x:c r="E78" t="str">
        <x:v>Gas Station 1</x:v>
      </x:c>
      <x:c r="F78" t="str">
        <x:v>LPG</x:v>
      </x:c>
      <x:c r="G78" s="14" t="n">
        <x:v>0.33381944444444445</x:v>
      </x:c>
      <x:c r="H78"/>
      <x:c r="I78"/>
      <x:c r="J78"/>
      <x:c r="K78"/>
      <x:c r="L78"/>
      <x:c r="M78"/>
      <x:c r="N78"/>
    </x:row>
    <x:row r="79">
      <x:c r="A79" t="n">
        <x:v>138</x:v>
      </x:c>
      <x:c r="B79" s="8" t="n">
        <x:v>46001</x:v>
      </x:c>
      <x:c r="C79" s="16" t="n">
        <x:v>391292</x:v>
      </x:c>
      <x:c r="D79" t="str">
        <x:v>DH-2</x:v>
      </x:c>
      <x:c r="E79" t="str">
        <x:v>Gas Station 1</x:v>
      </x:c>
      <x:c r="F79" t="str">
        <x:v>LPG</x:v>
      </x:c>
      <x:c r="G79" s="14" t="n">
        <x:v>0.6685532407407407</x:v>
      </x:c>
      <x:c r="H79"/>
      <x:c r="I79"/>
      <x:c r="J79"/>
      <x:c r="K79"/>
      <x:c r="L79"/>
      <x:c r="M79"/>
      <x:c r="N79"/>
    </x:row>
    <x:row r="80">
      <x:c r="A80" t="n">
        <x:v>142</x:v>
      </x:c>
      <x:c r="B80" s="8" t="n">
        <x:v>46022</x:v>
      </x:c>
      <x:c r="C80" s="16" t="n">
        <x:v>323509</x:v>
      </x:c>
      <x:c r="D80" t="str">
        <x:v>DH-2</x:v>
      </x:c>
      <x:c r="E80" t="str">
        <x:v>Gas Station 1</x:v>
      </x:c>
      <x:c r="F80" t="str">
        <x:v>LPG</x:v>
      </x:c>
      <x:c r="G80" s="14" t="n">
        <x:v>0.42787037037037035</x:v>
      </x:c>
      <x:c r="H80"/>
      <x:c r="I80"/>
      <x:c r="J80"/>
      <x:c r="K80"/>
      <x:c r="L80"/>
      <x:c r="M80"/>
      <x:c r="N80"/>
    </x:row>
    <x:row r="81">
      <x:c r="A81" t="n">
        <x:v>161</x:v>
      </x:c>
      <x:c r="B81" s="8" t="n">
        <x:v>46006</x:v>
      </x:c>
      <x:c r="C81" s="16" t="n">
        <x:v>392062</x:v>
      </x:c>
      <x:c r="D81" t="str">
        <x:v>DH-2</x:v>
      </x:c>
      <x:c r="E81" t="str">
        <x:v>Gas Station 1</x:v>
      </x:c>
      <x:c r="F81" t="str">
        <x:v>LPG</x:v>
      </x:c>
      <x:c r="G81" s="14" t="n">
        <x:v>0.7926967592592593</x:v>
      </x:c>
      <x:c r="H81"/>
      <x:c r="I81"/>
      <x:c r="J81"/>
      <x:c r="K81"/>
      <x:c r="L81"/>
      <x:c r="M81"/>
      <x:c r="N81"/>
    </x:row>
    <x:row r="82">
      <x:c r="A82" t="n">
        <x:v>213</x:v>
      </x:c>
      <x:c r="B82" s="8" t="n">
        <x:v>46050</x:v>
      </x:c>
      <x:c r="C82" s="16" t="n">
        <x:v>370612</x:v>
      </x:c>
      <x:c r="D82" t="str">
        <x:v>DH-2</x:v>
      </x:c>
      <x:c r="E82" t="str">
        <x:v>Gas Station 1</x:v>
      </x:c>
      <x:c r="F82" t="str">
        <x:v>LPG</x:v>
      </x:c>
      <x:c r="G82" s="14" t="n">
        <x:v>0.19311342592592592</x:v>
      </x:c>
      <x:c r="H82"/>
      <x:c r="I82"/>
      <x:c r="J82"/>
      <x:c r="K82"/>
      <x:c r="L82"/>
      <x:c r="M82"/>
      <x:c r="N82"/>
    </x:row>
    <x:row r="83">
      <x:c r="A83" t="n">
        <x:v>220</x:v>
      </x:c>
      <x:c r="B83" s="8" t="n">
        <x:v>46019</x:v>
      </x:c>
      <x:c r="C83" s="16" t="n">
        <x:v>371614</x:v>
      </x:c>
      <x:c r="D83" t="str">
        <x:v>DH-2</x:v>
      </x:c>
      <x:c r="E83" t="str">
        <x:v>Gas Station 1</x:v>
      </x:c>
      <x:c r="F83" t="str">
        <x:v>oilType</x:v>
      </x:c>
      <x:c r="G83" s="14" t="n">
        <x:v>0.9744097222222222</x:v>
      </x:c>
      <x:c r="H83"/>
      <x:c r="I83"/>
      <x:c r="J83"/>
      <x:c r="K83"/>
      <x:c r="L83"/>
      <x:c r="M83"/>
      <x:c r="N83"/>
    </x:row>
    <x:row r="84">
      <x:c r="A84" t="n">
        <x:v>133</x:v>
      </x:c>
      <x:c r="B84" s="8" t="n">
        <x:v>46025</x:v>
      </x:c>
      <x:c r="C84" s="16" t="n">
        <x:v>426651</x:v>
      </x:c>
      <x:c r="D84" t="str">
        <x:v>DH-1</x:v>
      </x:c>
      <x:c r="E84" t="str">
        <x:v>Gas Station 1</x:v>
      </x:c>
      <x:c r="F84" t="str">
        <x:v>Refinery Gas</x:v>
      </x:c>
      <x:c r="G84" s="14" t="n">
        <x:v>0.3433101851851852</x:v>
      </x:c>
      <x:c r="H84"/>
      <x:c r="I84"/>
      <x:c r="J84"/>
      <x:c r="K84"/>
      <x:c r="L84"/>
      <x:c r="M84"/>
      <x:c r="N84"/>
    </x:row>
    <x:row r="85">
      <x:c r="A85" t="n">
        <x:v>137</x:v>
      </x:c>
      <x:c r="B85" s="8" t="n">
        <x:v>46048</x:v>
      </x:c>
      <x:c r="C85" s="16" t="n">
        <x:v>437871</x:v>
      </x:c>
      <x:c r="D85" t="str">
        <x:v>DH-1</x:v>
      </x:c>
      <x:c r="E85" t="str">
        <x:v>Gas Station 1</x:v>
      </x:c>
      <x:c r="F85" t="str">
        <x:v>Refinery Gas</x:v>
      </x:c>
      <x:c r="G85" s="14" t="n">
        <x:v>0.5497453703703704</x:v>
      </x:c>
      <x:c r="H85"/>
      <x:c r="I85"/>
      <x:c r="J85"/>
      <x:c r="K85"/>
      <x:c r="L85"/>
      <x:c r="M85"/>
      <x:c r="N85"/>
    </x:row>
    <x:row r="86">
      <x:c r="A86" t="n">
        <x:v>157</x:v>
      </x:c>
      <x:c r="B86" s="8" t="n">
        <x:v>45983</x:v>
      </x:c>
      <x:c r="C86" s="16" t="n">
        <x:v>446117</x:v>
      </x:c>
      <x:c r="D86" t="str">
        <x:v>DH-1</x:v>
      </x:c>
      <x:c r="E86" t="str">
        <x:v>Gas Station 1</x:v>
      </x:c>
      <x:c r="F86" t="str">
        <x:v>Refinery Gas</x:v>
      </x:c>
      <x:c r="G86" s="14" t="n">
        <x:v>0.49626157407407406</x:v>
      </x:c>
      <x:c r="H86"/>
      <x:c r="I86"/>
      <x:c r="J86"/>
      <x:c r="K86"/>
      <x:c r="L86"/>
      <x:c r="M86"/>
      <x:c r="N86"/>
    </x:row>
    <x:row r="87">
      <x:c r="A87" t="n">
        <x:v>163</x:v>
      </x:c>
      <x:c r="B87" s="8" t="n">
        <x:v>46007</x:v>
      </x:c>
      <x:c r="C87" s="16" t="n">
        <x:v>373609</x:v>
      </x:c>
      <x:c r="D87" t="str">
        <x:v>DH-1</x:v>
      </x:c>
      <x:c r="E87" t="str">
        <x:v>Gas Station 1</x:v>
      </x:c>
      <x:c r="F87" t="str">
        <x:v>Refinery Gas</x:v>
      </x:c>
      <x:c r="G87" s="14" t="n">
        <x:v>0.7483912037037037</x:v>
      </x:c>
      <x:c r="H87"/>
      <x:c r="I87"/>
      <x:c r="J87"/>
      <x:c r="K87"/>
      <x:c r="L87"/>
      <x:c r="M87"/>
      <x:c r="N87"/>
    </x:row>
    <x:row r="88">
      <x:c r="A88" t="n">
        <x:v>178</x:v>
      </x:c>
      <x:c r="B88" s="8" t="n">
        <x:v>46038</x:v>
      </x:c>
      <x:c r="C88" s="16" t="n">
        <x:v>453862</x:v>
      </x:c>
      <x:c r="D88" t="str">
        <x:v>DH-1</x:v>
      </x:c>
      <x:c r="E88" t="str">
        <x:v>Gas Station 1</x:v>
      </x:c>
      <x:c r="F88" t="str">
        <x:v>Refinery Gas</x:v>
      </x:c>
      <x:c r="G88" s="14" t="n">
        <x:v>0.7393171296296296</x:v>
      </x:c>
      <x:c r="H88"/>
      <x:c r="I88"/>
      <x:c r="J88"/>
      <x:c r="K88"/>
      <x:c r="L88"/>
      <x:c r="M88"/>
      <x:c r="N88"/>
    </x:row>
    <x:row r="89">
      <x:c r="A89" t="n">
        <x:v>193</x:v>
      </x:c>
      <x:c r="B89" s="8" t="n">
        <x:v>45981</x:v>
      </x:c>
      <x:c r="C89" s="16" t="n">
        <x:v>411097</x:v>
      </x:c>
      <x:c r="D89" t="str">
        <x:v>DH-1</x:v>
      </x:c>
      <x:c r="E89" t="str">
        <x:v>Gas Station 1</x:v>
      </x:c>
      <x:c r="F89" t="str">
        <x:v>Refinery Gas</x:v>
      </x:c>
      <x:c r="G89" s="14" t="n">
        <x:v>0.9275231481481482</x:v>
      </x:c>
      <x:c r="H89"/>
      <x:c r="I89"/>
      <x:c r="J89"/>
      <x:c r="K89"/>
      <x:c r="L89"/>
      <x:c r="M89"/>
      <x:c r="N89"/>
    </x:row>
    <x:row r="90">
      <x:c r="A90" t="n">
        <x:v>201</x:v>
      </x:c>
      <x:c r="B90" s="8" t="n">
        <x:v>45983</x:v>
      </x:c>
      <x:c r="C90" s="16" t="n">
        <x:v>481768</x:v>
      </x:c>
      <x:c r="D90" t="str">
        <x:v>DH-1</x:v>
      </x:c>
      <x:c r="E90" t="str">
        <x:v>Gas Station 1</x:v>
      </x:c>
      <x:c r="F90" t="str">
        <x:v>Refinery Gas</x:v>
      </x:c>
      <x:c r="G90" s="14" t="n">
        <x:v>0.9595717592592593</x:v>
      </x:c>
      <x:c r="H90"/>
      <x:c r="I90"/>
      <x:c r="J90"/>
      <x:c r="K90"/>
      <x:c r="L90"/>
      <x:c r="M90"/>
      <x:c r="N90"/>
    </x:row>
    <x:row r="91">
      <x:c r="A91" t="n">
        <x:v>210</x:v>
      </x:c>
      <x:c r="B91" s="8" t="n">
        <x:v>46005</x:v>
      </x:c>
      <x:c r="C91" s="16" t="n">
        <x:v>477786</x:v>
      </x:c>
      <x:c r="D91" t="str">
        <x:v>DH-3</x:v>
      </x:c>
      <x:c r="E91" t="str">
        <x:v>Gas Station 2</x:v>
      </x:c>
      <x:c r="F91" t="str">
        <x:v>Refinery Gas</x:v>
      </x:c>
      <x:c r="G91" s="14" t="n">
        <x:v>0.557650462962963</x:v>
      </x:c>
      <x:c r="H91"/>
      <x:c r="I91"/>
      <x:c r="J91"/>
      <x:c r="K91"/>
      <x:c r="L91"/>
      <x:c r="M91"/>
      <x:c r="N91"/>
    </x:row>
    <x:row r="92">
      <x:c r="A92" t="n">
        <x:v>129</x:v>
      </x:c>
      <x:c r="B92" s="8" t="n">
        <x:v>46031</x:v>
      </x:c>
      <x:c r="C92" s="16" t="n">
        <x:v>355617</x:v>
      </x:c>
      <x:c r="D92" t="str">
        <x:v>DH-2</x:v>
      </x:c>
      <x:c r="E92" t="str">
        <x:v>Gas Station 2</x:v>
      </x:c>
      <x:c r="F92" t="str">
        <x:v>Refinery Gas</x:v>
      </x:c>
      <x:c r="G92" s="14" t="n">
        <x:v>0.12297453703703703</x:v>
      </x:c>
      <x:c r="H92"/>
      <x:c r="I92"/>
      <x:c r="J92"/>
      <x:c r="K92"/>
      <x:c r="L92"/>
      <x:c r="M92"/>
      <x:c r="N92"/>
    </x:row>
    <x:row r="93">
      <x:c r="A93" t="n">
        <x:v>173</x:v>
      </x:c>
      <x:c r="B93" s="8" t="n">
        <x:v>46001</x:v>
      </x:c>
      <x:c r="C93" s="16" t="n">
        <x:v>429078</x:v>
      </x:c>
      <x:c r="D93" t="str">
        <x:v>DH-2</x:v>
      </x:c>
      <x:c r="E93" t="str">
        <x:v>Gas Station 2</x:v>
      </x:c>
      <x:c r="F93" t="str">
        <x:v>Refinery Gas</x:v>
      </x:c>
      <x:c r="G93" s="14" t="n">
        <x:v>0.9551041666666666</x:v>
      </x:c>
      <x:c r="H93"/>
      <x:c r="I93"/>
      <x:c r="J93"/>
      <x:c r="K93"/>
      <x:c r="L93"/>
      <x:c r="M93"/>
      <x:c r="N93"/>
    </x:row>
    <x:row r="94">
      <x:c r="A94" t="n">
        <x:v>198</x:v>
      </x:c>
      <x:c r="B94" s="8" t="n">
        <x:v>46012</x:v>
      </x:c>
      <x:c r="C94" s="16" t="n">
        <x:v>302561</x:v>
      </x:c>
      <x:c r="D94" t="str">
        <x:v>DH-2</x:v>
      </x:c>
      <x:c r="E94" t="str">
        <x:v>Gas Station 2</x:v>
      </x:c>
      <x:c r="F94" t="str">
        <x:v>Refinery Gas</x:v>
      </x:c>
      <x:c r="G94" s="14" t="n">
        <x:v>0.5932060185185185</x:v>
      </x:c>
      <x:c r="H94"/>
      <x:c r="I94"/>
      <x:c r="J94"/>
      <x:c r="K94"/>
      <x:c r="L94"/>
      <x:c r="M94"/>
      <x:c r="N94"/>
    </x:row>
    <x:row r="95">
      <x:c r="A95" t="n">
        <x:v>208</x:v>
      </x:c>
      <x:c r="B95" s="8" t="n">
        <x:v>45989</x:v>
      </x:c>
      <x:c r="C95" s="16" t="n">
        <x:v>409882</x:v>
      </x:c>
      <x:c r="D95" t="str">
        <x:v>DH-2</x:v>
      </x:c>
      <x:c r="E95" t="str">
        <x:v>Gas Station 2</x:v>
      </x:c>
      <x:c r="F95" t="str">
        <x:v>Refinery Gas</x:v>
      </x:c>
      <x:c r="G95" s="14" t="n">
        <x:v>0.21178240740740742</x:v>
      </x:c>
      <x:c r="H95"/>
      <x:c r="I95"/>
      <x:c r="J95"/>
      <x:c r="K95"/>
      <x:c r="L95"/>
      <x:c r="M95"/>
      <x:c r="N95"/>
    </x:row>
    <x:row r="96">
      <x:c r="A96" t="n">
        <x:v>216</x:v>
      </x:c>
      <x:c r="B96" s="8" t="n">
        <x:v>46027</x:v>
      </x:c>
      <x:c r="C96" s="16" t="n">
        <x:v>316241</x:v>
      </x:c>
      <x:c r="D96" t="str">
        <x:v>DH-2</x:v>
      </x:c>
      <x:c r="E96" t="str">
        <x:v>Gas Station 2</x:v>
      </x:c>
      <x:c r="F96" t="str">
        <x:v>Refinery Gas</x:v>
      </x:c>
      <x:c r="G96" s="14" t="n">
        <x:v>0.016064814814814816</x:v>
      </x:c>
      <x:c r="H96"/>
      <x:c r="I96"/>
      <x:c r="J96"/>
      <x:c r="K96"/>
      <x:c r="L96"/>
      <x:c r="M96"/>
      <x:c r="N96"/>
    </x:row>
    <x:row r="97">
      <x:c r="A97" t="n">
        <x:v>217</x:v>
      </x:c>
      <x:c r="B97" s="8" t="n">
        <x:v>45967</x:v>
      </x:c>
      <x:c r="C97" s="16" t="n">
        <x:v>479796</x:v>
      </x:c>
      <x:c r="D97" t="str">
        <x:v>DH-2</x:v>
      </x:c>
      <x:c r="E97" t="str">
        <x:v>Gas Station 2</x:v>
      </x:c>
      <x:c r="F97" t="str">
        <x:v>Refinery Gas</x:v>
      </x:c>
      <x:c r="G97" s="14" t="n">
        <x:v>0.6922569444444444</x:v>
      </x:c>
      <x:c r="H97"/>
      <x:c r="I97"/>
      <x:c r="J97"/>
      <x:c r="K97"/>
      <x:c r="L97"/>
      <x:c r="M97"/>
      <x:c r="N97"/>
    </x:row>
    <x:row r="98">
      <x:c r="A98" t="n">
        <x:v>226</x:v>
      </x:c>
      <x:c r="B98" s="8" t="n">
        <x:v>46044</x:v>
      </x:c>
      <x:c r="C98" s="16" t="n">
        <x:v>382210</x:v>
      </x:c>
      <x:c r="D98" t="str">
        <x:v>DH-2</x:v>
      </x:c>
      <x:c r="E98" t="str">
        <x:v>Gas Station 2</x:v>
      </x:c>
      <x:c r="F98" t="str">
        <x:v>Refinery Gas</x:v>
      </x:c>
      <x:c r="G98" s="14" t="n">
        <x:v>0.3127662037037037</x:v>
      </x:c>
      <x:c r="H98"/>
      <x:c r="I98"/>
      <x:c r="J98"/>
      <x:c r="K98"/>
      <x:c r="L98"/>
      <x:c r="M98"/>
      <x:c r="N98"/>
    </x:row>
    <x:row r="99">
      <x:c r="A99" t="n">
        <x:v>164</x:v>
      </x:c>
      <x:c r="B99" s="8" t="n">
        <x:v>46015</x:v>
      </x:c>
      <x:c r="C99" s="16" t="n">
        <x:v>317109</x:v>
      </x:c>
      <x:c r="D99" t="str">
        <x:v>DH-1</x:v>
      </x:c>
      <x:c r="E99" t="str">
        <x:v>Gas Station 2</x:v>
      </x:c>
      <x:c r="F99" t="str">
        <x:v>Refinery Gas</x:v>
      </x:c>
      <x:c r="G99" s="14" t="n">
        <x:v>0.13640046296296296</x:v>
      </x:c>
      <x:c r="H99"/>
      <x:c r="I99"/>
      <x:c r="J99"/>
      <x:c r="K99"/>
      <x:c r="L99"/>
      <x:c r="M99"/>
      <x:c r="N99"/>
    </x:row>
    <x:row r="100">
      <x:c r="A100" t="n">
        <x:v>165</x:v>
      </x:c>
      <x:c r="B100" s="8" t="n">
        <x:v>46003</x:v>
      </x:c>
      <x:c r="C100" s="16" t="n">
        <x:v>416697</x:v>
      </x:c>
      <x:c r="D100" t="str">
        <x:v>DH-1</x:v>
      </x:c>
      <x:c r="E100" t="str">
        <x:v>Gas Station 2</x:v>
      </x:c>
      <x:c r="F100" t="str">
        <x:v>Refinery Gas</x:v>
      </x:c>
      <x:c r="G100" s="14" t="n">
        <x:v>0.06239583333333333</x:v>
      </x:c>
      <x:c r="H100"/>
      <x:c r="I100"/>
      <x:c r="J100"/>
      <x:c r="K100"/>
      <x:c r="L100"/>
      <x:c r="M100"/>
      <x:c r="N100"/>
    </x:row>
    <x:row r="101">
      <x:c r="A101" t="n">
        <x:v>227</x:v>
      </x:c>
      <x:c r="B101" s="8" t="n">
        <x:v>45988</x:v>
      </x:c>
      <x:c r="C101" s="16" t="n">
        <x:v>476826</x:v>
      </x:c>
      <x:c r="D101" t="str">
        <x:v>DH-1</x:v>
      </x:c>
      <x:c r="E101" t="str">
        <x:v>Gas Station 2</x:v>
      </x:c>
      <x:c r="F101" t="str">
        <x:v>Refinery Gas</x:v>
      </x:c>
      <x:c r="G101" s="14" t="n">
        <x:v>0.7307175925925926</x:v>
      </x:c>
      <x:c r="H101"/>
      <x:c r="I101"/>
      <x:c r="J101"/>
      <x:c r="K101"/>
      <x:c r="L101"/>
      <x:c r="M101"/>
      <x:c r="N101"/>
    </x:row>
  </x:sheetData>
  <x:pageMargins left="0.7" right="0.7" top="0.75" bottom="0.75" header="0.3" footer="0.3"/>
  <x:tableParts count="1">
    <x:tablePart xmlns:r="http://schemas.openxmlformats.org/officeDocument/2006/relationships" r:id="R19cff231657d42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8.34000015258789" hidden="0" customWidth="1"/>
    <x:col min="3" max="3" width="8.75" hidden="0" customWidth="1"/>
    <x:col min="4" max="4" width="8.609999656677246" hidden="0" customWidth="1"/>
    <x:col min="5" max="5" width="10.5" hidden="0" customWidth="1"/>
    <x:col min="6" max="6" width="9.6899995803833" hidden="0" customWidth="1"/>
    <x:col min="7" max="7" width="11.84000015258789" hidden="0" customWidth="1"/>
    <x:col min="8" max="8" width="16.020000457763672" hidden="0" customWidth="1"/>
    <x:col min="9" max="9" width="8.34000015258789" hidden="0" customWidth="1"/>
    <x:col min="10" max="10" width="15.210000038146973" hidden="0" customWidth="1"/>
    <x:col min="11" max="11" width="5.920000076293945" hidden="0" customWidth="1"/>
    <x:col min="12" max="12" width="21.530000686645508" hidden="0" customWidth="1"/>
    <x:col min="13" max="13" width="8.34000015258789" hidden="0" customWidth="1"/>
    <x:col min="14" max="14" width="4.849999904632568" hidden="0" customWidth="1"/>
    <x:col min="15" max="15" width="9.6899995803833" hidden="0" customWidth="1"/>
    <x:col min="16" max="16" width="4.849999904632568" hidden="0" customWidth="1"/>
  </x:cols>
  <x:sheetData>
    <x:row r="1">
      <x:c r="A1" s="4" t="str">
        <x:v>id</x:v>
      </x:c>
      <x:c r="B1" s="4" t="str">
        <x:v>Job_type</x:v>
      </x:c>
      <x:c r="C1" s="4" t="str">
        <x:v>firstName</x:v>
      </x:c>
      <x:c r="D1" s="4" t="str">
        <x:v>lastName</x:v>
      </x:c>
      <x:c r="E1" s="4" t="str">
        <x:v>middleName</x:v>
      </x:c>
      <x:c r="F1" s="4" t="str">
        <x:v>address</x:v>
      </x:c>
      <x:c r="G1" s="4" t="str">
        <x:v>mobile_phone</x:v>
      </x:c>
      <x:c r="H1" s="4" t="str">
        <x:v>emergency_contact</x:v>
      </x:c>
      <x:c r="I1" s="4" t="str">
        <x:v>wifeName</x:v>
      </x:c>
      <x:c r="J1" s="4" t="str">
        <x:v>numberOfChildren</x:v>
      </x:c>
      <x:c r="K1" s="4" t="str">
        <x:v>well_id</x:v>
      </x:c>
      <x:c r="L1" s="4" t="str">
        <x:v>GeneratedEmail</x:v>
      </x:c>
      <x:c r="M1" s="4" t="str">
        <x:v>Job Type</x:v>
      </x:c>
      <x:c r="N1" s="4" t="str">
        <x:v>Count</x:v>
      </x:c>
      <x:c r="O1" s="4" t="str">
        <x:v>Country</x:v>
      </x:c>
      <x:c r="P1" s="4" t="str">
        <x:v>Count</x:v>
      </x:c>
    </x:row>
    <x:row r="2">
      <x:c r="A2" t="n">
        <x:v>1</x:v>
      </x:c>
      <x:c r="B2" t="str">
        <x:v>Technician</x:v>
      </x:c>
      <x:c r="C2" t="str">
        <x:v>EmpFN1</x:v>
      </x:c>
      <x:c r="D2" t="str">
        <x:v>EmpLN1</x:v>
      </x:c>
      <x:c r="E2" t="str">
        <x:v>M</x:v>
      </x:c>
      <x:c r="F2" t="str">
        <x:v>China</x:v>
      </x:c>
      <x:c r="G2" s="18" t="n">
        <x:v>964785391</x:v>
      </x:c>
      <x:c r="H2" s="18" t="n">
        <x:v>9647321561</x:v>
      </x:c>
      <x:c r="I2" t="str">
        <x:v>Wife1</x:v>
      </x:c>
      <x:c r="J2" t="n">
        <x:v>1</x:v>
      </x:c>
      <x:c r="K2" t="n">
        <x:v>3</x:v>
      </x:c>
      <x:c r="L2" t="str">
        <x:v>e.empln1@iraqioil.gov.ir</x:v>
      </x:c>
      <x:c r="M2" t="str">
        <x:v>Technician</x:v>
      </x:c>
      <x:c r="N2" t="n">
        <x:v>24</x:v>
      </x:c>
      <x:c r="O2" t="str">
        <x:v>China</x:v>
      </x:c>
      <x:c r="P2" t="n">
        <x:v>24</x:v>
      </x:c>
    </x:row>
    <x:row r="3">
      <x:c r="A3" t="n">
        <x:v>2</x:v>
      </x:c>
      <x:c r="B3" t="str">
        <x:v>Digger</x:v>
      </x:c>
      <x:c r="C3" t="str">
        <x:v>EmpFN2</x:v>
      </x:c>
      <x:c r="D3" t="str">
        <x:v>EmpLN2</x:v>
      </x:c>
      <x:c r="E3" t="str">
        <x:v>M</x:v>
      </x:c>
      <x:c r="F3" t="str">
        <x:v>Iraq</x:v>
      </x:c>
      <x:c r="G3" s="18" t="n">
        <x:v>9647173956</x:v>
      </x:c>
      <x:c r="H3" s="18" t="n">
        <x:v>9647322798</x:v>
      </x:c>
      <x:c r="I3" t="str">
        <x:v>Wife2</x:v>
      </x:c>
      <x:c r="J3" t="n">
        <x:v>0</x:v>
      </x:c>
      <x:c r="K3" t="n">
        <x:v>2</x:v>
      </x:c>
      <x:c r="L3" t="str">
        <x:v>e.empln2@iraqioil.gov.ir</x:v>
      </x:c>
      <x:c r="M3" t="str">
        <x:v>Digger</x:v>
      </x:c>
      <x:c r="N3" t="n">
        <x:v>26</x:v>
      </x:c>
      <x:c r="O3" t="str">
        <x:v>Germany</x:v>
      </x:c>
      <x:c r="P3" t="n">
        <x:v>23</x:v>
      </x:c>
    </x:row>
    <x:row r="4">
      <x:c r="A4" t="n">
        <x:v>3</x:v>
      </x:c>
      <x:c r="B4" t="str">
        <x:v>Engineer</x:v>
      </x:c>
      <x:c r="C4" t="str">
        <x:v>EmpFN3</x:v>
      </x:c>
      <x:c r="D4" t="str">
        <x:v>EmpLN3</x:v>
      </x:c>
      <x:c r="E4" t="str">
        <x:v>M</x:v>
      </x:c>
      <x:c r="F4" t="str">
        <x:v>Germany</x:v>
      </x:c>
      <x:c r="G4" s="18" t="n">
        <x:v>9647680637</x:v>
      </x:c>
      <x:c r="H4" s="18" t="n">
        <x:v>964762303</x:v>
      </x:c>
      <x:c r="I4" t="str">
        <x:v>Wife3</x:v>
      </x:c>
      <x:c r="J4" t="n">
        <x:v>1</x:v>
      </x:c>
      <x:c r="K4" t="n">
        <x:v>1</x:v>
      </x:c>
      <x:c r="L4" t="str">
        <x:v>e.empln3@iraqioil.gov.ir</x:v>
      </x:c>
      <x:c r="M4" t="str">
        <x:v>Engineer</x:v>
      </x:c>
      <x:c r="N4" t="n">
        <x:v>26</x:v>
      </x:c>
      <x:c r="O4" t="str">
        <x:v>Iraq</x:v>
      </x:c>
      <x:c r="P4" t="n">
        <x:v>18</x:v>
      </x:c>
    </x:row>
    <x:row r="5">
      <x:c r="A5" t="n">
        <x:v>4</x:v>
      </x:c>
      <x:c r="B5" t="str">
        <x:v>Digger</x:v>
      </x:c>
      <x:c r="C5" t="str">
        <x:v>EmpFN4</x:v>
      </x:c>
      <x:c r="D5" t="str">
        <x:v>EmpLN4</x:v>
      </x:c>
      <x:c r="E5" t="str">
        <x:v>M</x:v>
      </x:c>
      <x:c r="F5" t="str">
        <x:v>Germany</x:v>
      </x:c>
      <x:c r="G5" s="18" t="n">
        <x:v>9647512402</x:v>
      </x:c>
      <x:c r="H5" s="18" t="n">
        <x:v>964760365</x:v>
      </x:c>
      <x:c r="I5" t="str">
        <x:v>Wife4</x:v>
      </x:c>
      <x:c r="J5" t="n">
        <x:v>3</x:v>
      </x:c>
      <x:c r="K5" t="n">
        <x:v>2</x:v>
      </x:c>
      <x:c r="L5" t="str">
        <x:v>e.empln4@iraqioil.gov.ir</x:v>
      </x:c>
      <x:c r="M5" t="str">
        <x:v>Admin</x:v>
      </x:c>
      <x:c r="N5" t="n">
        <x:v>22</x:v>
      </x:c>
      <x:c r="O5" t="str">
        <x:v>South Korea</x:v>
      </x:c>
      <x:c r="P5" t="n">
        <x:v>37</x:v>
      </x:c>
    </x:row>
    <x:row r="6">
      <x:c r="A6" t="n">
        <x:v>5</x:v>
      </x:c>
      <x:c r="B6" t="str">
        <x:v>Digger</x:v>
      </x:c>
      <x:c r="C6" t="str">
        <x:v>EmpFN5</x:v>
      </x:c>
      <x:c r="D6" t="str">
        <x:v>EmpLN5</x:v>
      </x:c>
      <x:c r="E6" t="str">
        <x:v>M</x:v>
      </x:c>
      <x:c r="F6" t="str">
        <x:v>South Korea</x:v>
      </x:c>
      <x:c r="G6" s="18" t="n">
        <x:v>9647524265</x:v>
      </x:c>
      <x:c r="H6" s="18" t="n">
        <x:v>9647657796</x:v>
      </x:c>
      <x:c r="I6" t="str">
        <x:v>Wife5</x:v>
      </x:c>
      <x:c r="J6" t="n">
        <x:v>3</x:v>
      </x:c>
      <x:c r="K6" t="n">
        <x:v>2</x:v>
      </x:c>
      <x:c r="L6" t="str">
        <x:v>e.empln5@iraqioil.gov.ir</x:v>
      </x:c>
      <x:c r="M6" t="str">
        <x:v>Driver</x:v>
      </x:c>
      <x:c r="N6" t="n">
        <x:v>22</x:v>
      </x:c>
      <x:c r="O6"/>
      <x:c r="P6"/>
    </x:row>
    <x:row r="7">
      <x:c r="A7" t="n">
        <x:v>6</x:v>
      </x:c>
      <x:c r="B7" t="str">
        <x:v>Digger</x:v>
      </x:c>
      <x:c r="C7" t="str">
        <x:v>EmpFN6</x:v>
      </x:c>
      <x:c r="D7" t="str">
        <x:v>EmpLN6</x:v>
      </x:c>
      <x:c r="E7" t="str">
        <x:v>M</x:v>
      </x:c>
      <x:c r="F7" t="str">
        <x:v>South Korea</x:v>
      </x:c>
      <x:c r="G7" s="18" t="n">
        <x:v>9647447776</x:v>
      </x:c>
      <x:c r="H7" s="18" t="n">
        <x:v>9647369784</x:v>
      </x:c>
      <x:c r="I7" t="str">
        <x:v>Wife6</x:v>
      </x:c>
      <x:c r="J7" t="n">
        <x:v>2</x:v>
      </x:c>
      <x:c r="K7" t="n">
        <x:v>2</x:v>
      </x:c>
      <x:c r="L7" t="str">
        <x:v>e.empln6@iraqioil.gov.ir</x:v>
      </x:c>
      <x:c r="M7"/>
      <x:c r="N7"/>
      <x:c r="O7"/>
      <x:c r="P7"/>
    </x:row>
    <x:row r="8">
      <x:c r="A8" t="n">
        <x:v>7</x:v>
      </x:c>
      <x:c r="B8" t="str">
        <x:v>Admin</x:v>
      </x:c>
      <x:c r="C8" t="str">
        <x:v>EmpFN7</x:v>
      </x:c>
      <x:c r="D8" t="str">
        <x:v>EmpLN7</x:v>
      </x:c>
      <x:c r="E8" t="str">
        <x:v>M</x:v>
      </x:c>
      <x:c r="F8" t="str">
        <x:v>South Korea</x:v>
      </x:c>
      <x:c r="G8" s="18" t="n">
        <x:v>9647399177</x:v>
      </x:c>
      <x:c r="H8" s="18" t="n">
        <x:v>9647119057</x:v>
      </x:c>
      <x:c r="I8" t="str">
        <x:v>Wife7</x:v>
      </x:c>
      <x:c r="J8" t="n">
        <x:v>1</x:v>
      </x:c>
      <x:c r="K8" t="n">
        <x:v>2</x:v>
      </x:c>
      <x:c r="L8" t="str">
        <x:v>e.empln7@iraqioil.gov.ir</x:v>
      </x:c>
      <x:c r="M8"/>
      <x:c r="N8"/>
      <x:c r="O8"/>
      <x:c r="P8"/>
    </x:row>
    <x:row r="9">
      <x:c r="A9" t="n">
        <x:v>8</x:v>
      </x:c>
      <x:c r="B9" t="str">
        <x:v>Digger</x:v>
      </x:c>
      <x:c r="C9" t="str">
        <x:v>EmpFN8</x:v>
      </x:c>
      <x:c r="D9" t="str">
        <x:v>EmpLN8</x:v>
      </x:c>
      <x:c r="E9" t="str">
        <x:v>M</x:v>
      </x:c>
      <x:c r="F9" t="str">
        <x:v>Iran</x:v>
      </x:c>
      <x:c r="G9" s="18" t="n">
        <x:v>9647750130</x:v>
      </x:c>
      <x:c r="H9" s="18" t="n">
        <x:v>9647964056</x:v>
      </x:c>
      <x:c r="I9" t="str">
        <x:v>Wife8</x:v>
      </x:c>
      <x:c r="J9" t="n">
        <x:v>2</x:v>
      </x:c>
      <x:c r="K9" t="n">
        <x:v>3</x:v>
      </x:c>
      <x:c r="L9" t="str">
        <x:v>e.empln8@iraqioil.gov.ir</x:v>
      </x:c>
      <x:c r="M9"/>
      <x:c r="N9"/>
      <x:c r="O9"/>
      <x:c r="P9"/>
    </x:row>
    <x:row r="10">
      <x:c r="A10" t="n">
        <x:v>9</x:v>
      </x:c>
      <x:c r="B10" t="str">
        <x:v>Engineer</x:v>
      </x:c>
      <x:c r="C10" t="str">
        <x:v>EmpFN9</x:v>
      </x:c>
      <x:c r="D10" t="str">
        <x:v>EmpLN9</x:v>
      </x:c>
      <x:c r="E10" t="str">
        <x:v>M</x:v>
      </x:c>
      <x:c r="F10" t="str">
        <x:v>Germany</x:v>
      </x:c>
      <x:c r="G10" s="18" t="n">
        <x:v>9647328464</x:v>
      </x:c>
      <x:c r="H10" s="18" t="n">
        <x:v>9647107169</x:v>
      </x:c>
      <x:c r="I10" t="str">
        <x:v>Wife9</x:v>
      </x:c>
      <x:c r="J10" t="n">
        <x:v>2</x:v>
      </x:c>
      <x:c r="K10" t="n">
        <x:v>2</x:v>
      </x:c>
      <x:c r="L10" t="str">
        <x:v>e.empln9@iraqioil.gov.ir</x:v>
      </x:c>
      <x:c r="M10"/>
      <x:c r="N10"/>
      <x:c r="O10"/>
      <x:c r="P10"/>
    </x:row>
    <x:row r="11">
      <x:c r="A11" t="n">
        <x:v>10</x:v>
      </x:c>
      <x:c r="B11" t="str">
        <x:v>Admin</x:v>
      </x:c>
      <x:c r="C11" t="str">
        <x:v>EmpFN10</x:v>
      </x:c>
      <x:c r="D11" t="str">
        <x:v>EmpLN10</x:v>
      </x:c>
      <x:c r="E11" t="str">
        <x:v>M</x:v>
      </x:c>
      <x:c r="F11" t="str">
        <x:v>China</x:v>
      </x:c>
      <x:c r="G11" s="18" t="n">
        <x:v>9647592208</x:v>
      </x:c>
      <x:c r="H11" s="18" t="n">
        <x:v>9647301332</x:v>
      </x:c>
      <x:c r="I11" t="str">
        <x:v>Wife10</x:v>
      </x:c>
      <x:c r="J11" t="n">
        <x:v>3</x:v>
      </x:c>
      <x:c r="K11" t="n">
        <x:v>3</x:v>
      </x:c>
      <x:c r="L11" t="str">
        <x:v>e.empln10@iraqioil.gov.ir</x:v>
      </x:c>
      <x:c r="M11"/>
      <x:c r="N11"/>
      <x:c r="O11"/>
      <x:c r="P11"/>
    </x:row>
    <x:row r="12">
      <x:c r="A12" t="n">
        <x:v>11</x:v>
      </x:c>
      <x:c r="B12" t="str">
        <x:v>Admin</x:v>
      </x:c>
      <x:c r="C12" t="str">
        <x:v>EmpFN11</x:v>
      </x:c>
      <x:c r="D12" t="str">
        <x:v>EmpLN11</x:v>
      </x:c>
      <x:c r="E12" t="str">
        <x:v>M</x:v>
      </x:c>
      <x:c r="F12" t="str">
        <x:v>Germany</x:v>
      </x:c>
      <x:c r="G12" s="18" t="n">
        <x:v>9647704749</x:v>
      </x:c>
      <x:c r="H12" s="18" t="n">
        <x:v>9647127470</x:v>
      </x:c>
      <x:c r="I12" t="str">
        <x:v>Wife11</x:v>
      </x:c>
      <x:c r="J12" t="n">
        <x:v>2</x:v>
      </x:c>
      <x:c r="K12" t="n">
        <x:v>1</x:v>
      </x:c>
      <x:c r="L12" t="str">
        <x:v>e.empln11@iraqioil.gov.ir</x:v>
      </x:c>
      <x:c r="M12"/>
      <x:c r="N12"/>
      <x:c r="O12"/>
      <x:c r="P12"/>
    </x:row>
    <x:row r="13">
      <x:c r="A13" t="n">
        <x:v>12</x:v>
      </x:c>
      <x:c r="B13" t="str">
        <x:v>Admin</x:v>
      </x:c>
      <x:c r="C13" t="str">
        <x:v>EmpFN12</x:v>
      </x:c>
      <x:c r="D13" t="str">
        <x:v>EmpLN12</x:v>
      </x:c>
      <x:c r="E13" t="str">
        <x:v>M</x:v>
      </x:c>
      <x:c r="F13" t="str">
        <x:v>China</x:v>
      </x:c>
      <x:c r="G13" s="18" t="n">
        <x:v>9647620849</x:v>
      </x:c>
      <x:c r="H13" s="18" t="n">
        <x:v>9647258485</x:v>
      </x:c>
      <x:c r="I13" t="str">
        <x:v>Wife12</x:v>
      </x:c>
      <x:c r="J13" t="n">
        <x:v>2</x:v>
      </x:c>
      <x:c r="K13" t="n">
        <x:v>2</x:v>
      </x:c>
      <x:c r="L13" t="str">
        <x:v>e.empln12@iraqioil.gov.ir</x:v>
      </x:c>
      <x:c r="M13"/>
      <x:c r="N13"/>
      <x:c r="O13"/>
      <x:c r="P13"/>
    </x:row>
    <x:row r="14">
      <x:c r="A14" t="n">
        <x:v>13</x:v>
      </x:c>
      <x:c r="B14" t="str">
        <x:v>Admin</x:v>
      </x:c>
      <x:c r="C14" t="str">
        <x:v>EmpFN13</x:v>
      </x:c>
      <x:c r="D14" t="str">
        <x:v>EmpLN13</x:v>
      </x:c>
      <x:c r="E14" t="str">
        <x:v>M</x:v>
      </x:c>
      <x:c r="F14" t="str">
        <x:v>South Korea</x:v>
      </x:c>
      <x:c r="G14" s="18" t="n">
        <x:v>9647151112</x:v>
      </x:c>
      <x:c r="H14" s="18" t="n">
        <x:v>9647420895</x:v>
      </x:c>
      <x:c r="I14" t="str">
        <x:v>Wife13</x:v>
      </x:c>
      <x:c r="J14" t="n">
        <x:v>3</x:v>
      </x:c>
      <x:c r="K14" t="n">
        <x:v>3</x:v>
      </x:c>
      <x:c r="L14" t="str">
        <x:v>e.empln13@iraqioil.gov.ir</x:v>
      </x:c>
      <x:c r="M14"/>
      <x:c r="N14"/>
      <x:c r="O14"/>
      <x:c r="P14"/>
    </x:row>
    <x:row r="15">
      <x:c r="A15" t="n">
        <x:v>14</x:v>
      </x:c>
      <x:c r="B15" t="str">
        <x:v>Engineer</x:v>
      </x:c>
      <x:c r="C15" t="str">
        <x:v>EmpFN14</x:v>
      </x:c>
      <x:c r="D15" t="str">
        <x:v>EmpLN14</x:v>
      </x:c>
      <x:c r="E15" t="str">
        <x:v>M</x:v>
      </x:c>
      <x:c r="F15" t="str">
        <x:v>Iraq</x:v>
      </x:c>
      <x:c r="G15" s="18" t="n">
        <x:v>9647360630</x:v>
      </x:c>
      <x:c r="H15" s="18" t="n">
        <x:v>9647565850</x:v>
      </x:c>
      <x:c r="I15" t="str">
        <x:v>Wife14</x:v>
      </x:c>
      <x:c r="J15" t="n">
        <x:v>3</x:v>
      </x:c>
      <x:c r="K15" t="n">
        <x:v>1</x:v>
      </x:c>
      <x:c r="L15" t="str">
        <x:v>e.empln14@iraqioil.gov.ir</x:v>
      </x:c>
      <x:c r="M15"/>
      <x:c r="N15"/>
      <x:c r="O15"/>
      <x:c r="P15"/>
    </x:row>
    <x:row r="16">
      <x:c r="A16" t="n">
        <x:v>15</x:v>
      </x:c>
      <x:c r="B16" t="str">
        <x:v>Digger</x:v>
      </x:c>
      <x:c r="C16" t="str">
        <x:v>EmpFN15</x:v>
      </x:c>
      <x:c r="D16" t="str">
        <x:v>EmpLN15</x:v>
      </x:c>
      <x:c r="E16" t="str">
        <x:v>M</x:v>
      </x:c>
      <x:c r="F16" t="str">
        <x:v>South Korea</x:v>
      </x:c>
      <x:c r="G16" s="18" t="n">
        <x:v>9647402101</x:v>
      </x:c>
      <x:c r="H16" s="18" t="n">
        <x:v>964751826</x:v>
      </x:c>
      <x:c r="I16" t="str">
        <x:v>Wife15</x:v>
      </x:c>
      <x:c r="J16" t="n">
        <x:v>0</x:v>
      </x:c>
      <x:c r="K16" t="n">
        <x:v>1</x:v>
      </x:c>
      <x:c r="L16" t="str">
        <x:v>e.empln15@iraqioil.gov.ir</x:v>
      </x:c>
      <x:c r="M16"/>
      <x:c r="N16"/>
      <x:c r="O16"/>
      <x:c r="P16"/>
    </x:row>
    <x:row r="17">
      <x:c r="A17" t="n">
        <x:v>16</x:v>
      </x:c>
      <x:c r="B17" t="str">
        <x:v>Technician</x:v>
      </x:c>
      <x:c r="C17" t="str">
        <x:v>EmpFN16</x:v>
      </x:c>
      <x:c r="D17" t="str">
        <x:v>EmpLN16</x:v>
      </x:c>
      <x:c r="E17" t="str">
        <x:v>M</x:v>
      </x:c>
      <x:c r="F17" t="str">
        <x:v>Germany</x:v>
      </x:c>
      <x:c r="G17" s="18" t="n">
        <x:v>9647835589</x:v>
      </x:c>
      <x:c r="H17" s="18" t="n">
        <x:v>9647383970</x:v>
      </x:c>
      <x:c r="I17" t="str">
        <x:v>Wife16</x:v>
      </x:c>
      <x:c r="J17" t="n">
        <x:v>2</x:v>
      </x:c>
      <x:c r="K17" t="n">
        <x:v>3</x:v>
      </x:c>
      <x:c r="L17" t="str">
        <x:v>e.empln16@iraqioil.gov.ir</x:v>
      </x:c>
      <x:c r="M17"/>
      <x:c r="N17"/>
      <x:c r="O17"/>
      <x:c r="P17"/>
    </x:row>
    <x:row r="18">
      <x:c r="A18" t="n">
        <x:v>17</x:v>
      </x:c>
      <x:c r="B18" t="str">
        <x:v>Technician</x:v>
      </x:c>
      <x:c r="C18" t="str">
        <x:v>EmpFN17</x:v>
      </x:c>
      <x:c r="D18" t="str">
        <x:v>EmpLN17</x:v>
      </x:c>
      <x:c r="E18" t="str">
        <x:v>M</x:v>
      </x:c>
      <x:c r="F18" t="str">
        <x:v>Iran</x:v>
      </x:c>
      <x:c r="G18" s="18" t="n">
        <x:v>9647519883</x:v>
      </x:c>
      <x:c r="H18" s="18" t="n">
        <x:v>9647896551</x:v>
      </x:c>
      <x:c r="I18" t="str">
        <x:v>Wife17</x:v>
      </x:c>
      <x:c r="J18" t="n">
        <x:v>4</x:v>
      </x:c>
      <x:c r="K18" t="n">
        <x:v>3</x:v>
      </x:c>
      <x:c r="L18" t="str">
        <x:v>e.empln17@iraqioil.gov.ir</x:v>
      </x:c>
      <x:c r="M18"/>
      <x:c r="N18"/>
      <x:c r="O18"/>
      <x:c r="P18"/>
    </x:row>
    <x:row r="19">
      <x:c r="A19" t="n">
        <x:v>18</x:v>
      </x:c>
      <x:c r="B19" t="str">
        <x:v>Digger</x:v>
      </x:c>
      <x:c r="C19" t="str">
        <x:v>EmpFN18</x:v>
      </x:c>
      <x:c r="D19" t="str">
        <x:v>EmpLN18</x:v>
      </x:c>
      <x:c r="E19" t="str">
        <x:v>M</x:v>
      </x:c>
      <x:c r="F19" t="str">
        <x:v>Germany</x:v>
      </x:c>
      <x:c r="G19" s="18" t="n">
        <x:v>964734283</x:v>
      </x:c>
      <x:c r="H19" s="18" t="n">
        <x:v>9647602632</x:v>
      </x:c>
      <x:c r="I19" t="str">
        <x:v>Wife18</x:v>
      </x:c>
      <x:c r="J19" t="n">
        <x:v>4</x:v>
      </x:c>
      <x:c r="K19" t="n">
        <x:v>3</x:v>
      </x:c>
      <x:c r="L19" t="str">
        <x:v>e.empln18@iraqioil.gov.ir</x:v>
      </x:c>
      <x:c r="M19"/>
      <x:c r="N19"/>
      <x:c r="O19"/>
      <x:c r="P19"/>
    </x:row>
    <x:row r="20">
      <x:c r="A20" t="n">
        <x:v>19</x:v>
      </x:c>
      <x:c r="B20" t="str">
        <x:v>Digger</x:v>
      </x:c>
      <x:c r="C20" t="str">
        <x:v>EmpFN19</x:v>
      </x:c>
      <x:c r="D20" t="str">
        <x:v>EmpLN19</x:v>
      </x:c>
      <x:c r="E20" t="str">
        <x:v>M</x:v>
      </x:c>
      <x:c r="F20" t="str">
        <x:v>South Korea</x:v>
      </x:c>
      <x:c r="G20" s="18" t="n">
        <x:v>9647567302</x:v>
      </x:c>
      <x:c r="H20" s="18" t="n">
        <x:v>9647718856</x:v>
      </x:c>
      <x:c r="I20" t="str">
        <x:v>Wife19</x:v>
      </x:c>
      <x:c r="J20" t="n">
        <x:v>4</x:v>
      </x:c>
      <x:c r="K20" t="n">
        <x:v>1</x:v>
      </x:c>
      <x:c r="L20" t="str">
        <x:v>e.empln19@iraqioil.gov.ir</x:v>
      </x:c>
      <x:c r="M20"/>
      <x:c r="N20"/>
      <x:c r="O20"/>
      <x:c r="P20"/>
    </x:row>
    <x:row r="21">
      <x:c r="A21" t="n">
        <x:v>20</x:v>
      </x:c>
      <x:c r="B21" t="str">
        <x:v>Digger</x:v>
      </x:c>
      <x:c r="C21" t="str">
        <x:v>EmpFN20</x:v>
      </x:c>
      <x:c r="D21" t="str">
        <x:v>EmpLN20</x:v>
      </x:c>
      <x:c r="E21" t="str">
        <x:v>M</x:v>
      </x:c>
      <x:c r="F21" t="str">
        <x:v>China</x:v>
      </x:c>
      <x:c r="G21" s="18" t="n">
        <x:v>9647108112</x:v>
      </x:c>
      <x:c r="H21" s="18" t="n">
        <x:v>9647546687</x:v>
      </x:c>
      <x:c r="I21" t="str">
        <x:v>Wife20</x:v>
      </x:c>
      <x:c r="J21" t="n">
        <x:v>2</x:v>
      </x:c>
      <x:c r="K21" t="n">
        <x:v>2</x:v>
      </x:c>
      <x:c r="L21" t="str">
        <x:v>e.empln20@iraqioil.gov.ir</x:v>
      </x:c>
      <x:c r="M21"/>
      <x:c r="N21"/>
      <x:c r="O21"/>
      <x:c r="P21"/>
    </x:row>
    <x:row r="22">
      <x:c r="A22" t="n">
        <x:v>21</x:v>
      </x:c>
      <x:c r="B22" t="str">
        <x:v>Driver</x:v>
      </x:c>
      <x:c r="C22" t="str">
        <x:v>EmpFN21</x:v>
      </x:c>
      <x:c r="D22" t="str">
        <x:v>EmpLN21</x:v>
      </x:c>
      <x:c r="E22" t="str">
        <x:v>M</x:v>
      </x:c>
      <x:c r="F22" t="str">
        <x:v>South Korea</x:v>
      </x:c>
      <x:c r="G22" s="18" t="n">
        <x:v>9647516991</x:v>
      </x:c>
      <x:c r="H22" s="18" t="n">
        <x:v>9647234866</x:v>
      </x:c>
      <x:c r="I22" t="str">
        <x:v>Wife21</x:v>
      </x:c>
      <x:c r="J22" t="n">
        <x:v>3</x:v>
      </x:c>
      <x:c r="K22" t="n">
        <x:v>2</x:v>
      </x:c>
      <x:c r="L22" t="str">
        <x:v>e.empln21@iraqioil.gov.ir</x:v>
      </x:c>
      <x:c r="M22"/>
      <x:c r="N22"/>
      <x:c r="O22"/>
      <x:c r="P22"/>
    </x:row>
    <x:row r="23">
      <x:c r="A23" t="n">
        <x:v>22</x:v>
      </x:c>
      <x:c r="B23" t="str">
        <x:v>Engineer</x:v>
      </x:c>
      <x:c r="C23" t="str">
        <x:v>EmpFN22</x:v>
      </x:c>
      <x:c r="D23" t="str">
        <x:v>EmpLN22</x:v>
      </x:c>
      <x:c r="E23" t="str">
        <x:v>M</x:v>
      </x:c>
      <x:c r="F23" t="str">
        <x:v>South Korea</x:v>
      </x:c>
      <x:c r="G23" s="18" t="n">
        <x:v>964715476</x:v>
      </x:c>
      <x:c r="H23" s="18" t="n">
        <x:v>9647924611</x:v>
      </x:c>
      <x:c r="I23" t="str">
        <x:v>Wife22</x:v>
      </x:c>
      <x:c r="J23" t="n">
        <x:v>2</x:v>
      </x:c>
      <x:c r="K23" t="n">
        <x:v>1</x:v>
      </x:c>
      <x:c r="L23" t="str">
        <x:v>e.empln22@iraqioil.gov.ir</x:v>
      </x:c>
      <x:c r="M23"/>
      <x:c r="N23"/>
      <x:c r="O23"/>
      <x:c r="P23"/>
    </x:row>
    <x:row r="24">
      <x:c r="A24" t="n">
        <x:v>23</x:v>
      </x:c>
      <x:c r="B24" t="str">
        <x:v>Digger</x:v>
      </x:c>
      <x:c r="C24" t="str">
        <x:v>EmpFN23</x:v>
      </x:c>
      <x:c r="D24" t="str">
        <x:v>EmpLN23</x:v>
      </x:c>
      <x:c r="E24" t="str">
        <x:v>M</x:v>
      </x:c>
      <x:c r="F24" t="str">
        <x:v>South Korea</x:v>
      </x:c>
      <x:c r="G24" s="18" t="n">
        <x:v>9647326103</x:v>
      </x:c>
      <x:c r="H24" s="18" t="n">
        <x:v>9647364944</x:v>
      </x:c>
      <x:c r="I24" t="str">
        <x:v>Wife23</x:v>
      </x:c>
      <x:c r="J24" t="n">
        <x:v>4</x:v>
      </x:c>
      <x:c r="K24" t="n">
        <x:v>1</x:v>
      </x:c>
      <x:c r="L24" t="str">
        <x:v>e.empln23@iraqioil.gov.ir</x:v>
      </x:c>
      <x:c r="M24"/>
      <x:c r="N24"/>
      <x:c r="O24"/>
      <x:c r="P24"/>
    </x:row>
    <x:row r="25">
      <x:c r="A25" t="n">
        <x:v>24</x:v>
      </x:c>
      <x:c r="B25" t="str">
        <x:v>Engineer</x:v>
      </x:c>
      <x:c r="C25" t="str">
        <x:v>EmpFN24</x:v>
      </x:c>
      <x:c r="D25" t="str">
        <x:v>EmpLN24</x:v>
      </x:c>
      <x:c r="E25" t="str">
        <x:v>M</x:v>
      </x:c>
      <x:c r="F25" t="str">
        <x:v>China</x:v>
      </x:c>
      <x:c r="G25" s="18" t="n">
        <x:v>9647172666</x:v>
      </x:c>
      <x:c r="H25" s="18" t="n">
        <x:v>9647895383</x:v>
      </x:c>
      <x:c r="I25" t="str">
        <x:v>Wife24</x:v>
      </x:c>
      <x:c r="J25" t="n">
        <x:v>4</x:v>
      </x:c>
      <x:c r="K25" t="n">
        <x:v>1</x:v>
      </x:c>
      <x:c r="L25" t="str">
        <x:v>e.empln24@iraqioil.gov.ir</x:v>
      </x:c>
      <x:c r="M25"/>
      <x:c r="N25"/>
      <x:c r="O25"/>
      <x:c r="P25"/>
    </x:row>
    <x:row r="26">
      <x:c r="A26" t="n">
        <x:v>25</x:v>
      </x:c>
      <x:c r="B26" t="str">
        <x:v>Driver</x:v>
      </x:c>
      <x:c r="C26" t="str">
        <x:v>EmpFN25</x:v>
      </x:c>
      <x:c r="D26" t="str">
        <x:v>EmpLN25</x:v>
      </x:c>
      <x:c r="E26" t="str">
        <x:v>M</x:v>
      </x:c>
      <x:c r="F26" t="str">
        <x:v>Iraq</x:v>
      </x:c>
      <x:c r="G26" s="18" t="n">
        <x:v>964712400</x:v>
      </x:c>
      <x:c r="H26" s="18" t="n">
        <x:v>964756838</x:v>
      </x:c>
      <x:c r="I26" t="str">
        <x:v>Wife25</x:v>
      </x:c>
      <x:c r="J26" t="n">
        <x:v>1</x:v>
      </x:c>
      <x:c r="K26" t="n">
        <x:v>1</x:v>
      </x:c>
      <x:c r="L26" t="str">
        <x:v>e.empln25@iraqioil.gov.ir</x:v>
      </x:c>
      <x:c r="M26"/>
      <x:c r="N26"/>
      <x:c r="O26"/>
      <x:c r="P26"/>
    </x:row>
    <x:row r="27">
      <x:c r="A27" t="n">
        <x:v>26</x:v>
      </x:c>
      <x:c r="B27" t="str">
        <x:v>Admin</x:v>
      </x:c>
      <x:c r="C27" t="str">
        <x:v>EmpFN26</x:v>
      </x:c>
      <x:c r="D27" t="str">
        <x:v>EmpLN26</x:v>
      </x:c>
      <x:c r="E27" t="str">
        <x:v>M</x:v>
      </x:c>
      <x:c r="F27" t="str">
        <x:v>South Korea</x:v>
      </x:c>
      <x:c r="G27" s="18" t="n">
        <x:v>9647819623</x:v>
      </x:c>
      <x:c r="H27" s="18" t="n">
        <x:v>9647960210</x:v>
      </x:c>
      <x:c r="I27" t="str">
        <x:v>Wife26</x:v>
      </x:c>
      <x:c r="J27" t="n">
        <x:v>1</x:v>
      </x:c>
      <x:c r="K27" t="n">
        <x:v>3</x:v>
      </x:c>
      <x:c r="L27" t="str">
        <x:v>e.empln26@iraqioil.gov.ir</x:v>
      </x:c>
      <x:c r="M27"/>
      <x:c r="N27"/>
      <x:c r="O27"/>
      <x:c r="P27"/>
    </x:row>
    <x:row r="28">
      <x:c r="A28" t="n">
        <x:v>27</x:v>
      </x:c>
      <x:c r="B28" t="str">
        <x:v>Engineer</x:v>
      </x:c>
      <x:c r="C28" t="str">
        <x:v>EmpFN27</x:v>
      </x:c>
      <x:c r="D28" t="str">
        <x:v>EmpLN27</x:v>
      </x:c>
      <x:c r="E28" t="str">
        <x:v>M</x:v>
      </x:c>
      <x:c r="F28" t="str">
        <x:v>Iraq</x:v>
      </x:c>
      <x:c r="G28" s="18" t="n">
        <x:v>9647292930</x:v>
      </x:c>
      <x:c r="H28" s="18" t="n">
        <x:v>964764125</x:v>
      </x:c>
      <x:c r="I28" t="str">
        <x:v>Wife27</x:v>
      </x:c>
      <x:c r="J28" t="n">
        <x:v>2</x:v>
      </x:c>
      <x:c r="K28" t="n">
        <x:v>1</x:v>
      </x:c>
      <x:c r="L28" t="str">
        <x:v>e.empln27@iraqioil.gov.ir</x:v>
      </x:c>
      <x:c r="M28"/>
      <x:c r="N28"/>
      <x:c r="O28"/>
      <x:c r="P28"/>
    </x:row>
    <x:row r="29">
      <x:c r="A29" t="n">
        <x:v>28</x:v>
      </x:c>
      <x:c r="B29" t="str">
        <x:v>Driver</x:v>
      </x:c>
      <x:c r="C29" t="str">
        <x:v>EmpFN28</x:v>
      </x:c>
      <x:c r="D29" t="str">
        <x:v>EmpLN28</x:v>
      </x:c>
      <x:c r="E29" t="str">
        <x:v>M</x:v>
      </x:c>
      <x:c r="F29" t="str">
        <x:v>South Korea</x:v>
      </x:c>
      <x:c r="G29" s="18" t="n">
        <x:v>9647433891</x:v>
      </x:c>
      <x:c r="H29" s="18" t="n">
        <x:v>9647943927</x:v>
      </x:c>
      <x:c r="I29" t="str">
        <x:v>Wife28</x:v>
      </x:c>
      <x:c r="J29" t="n">
        <x:v>2</x:v>
      </x:c>
      <x:c r="K29" t="n">
        <x:v>1</x:v>
      </x:c>
      <x:c r="L29" t="str">
        <x:v>e.empln28@iraqioil.gov.ir</x:v>
      </x:c>
      <x:c r="M29"/>
      <x:c r="N29"/>
      <x:c r="O29"/>
      <x:c r="P29"/>
    </x:row>
    <x:row r="30">
      <x:c r="A30" t="n">
        <x:v>29</x:v>
      </x:c>
      <x:c r="B30" t="str">
        <x:v>Engineer</x:v>
      </x:c>
      <x:c r="C30" t="str">
        <x:v>EmpFN29</x:v>
      </x:c>
      <x:c r="D30" t="str">
        <x:v>EmpLN29</x:v>
      </x:c>
      <x:c r="E30" t="str">
        <x:v>M</x:v>
      </x:c>
      <x:c r="F30" t="str">
        <x:v>Germany</x:v>
      </x:c>
      <x:c r="G30" s="18" t="n">
        <x:v>9647927203</x:v>
      </x:c>
      <x:c r="H30" s="18" t="n">
        <x:v>9647414434</x:v>
      </x:c>
      <x:c r="I30" t="str">
        <x:v>Wife29</x:v>
      </x:c>
      <x:c r="J30" t="n">
        <x:v>1</x:v>
      </x:c>
      <x:c r="K30" t="n">
        <x:v>1</x:v>
      </x:c>
      <x:c r="L30" t="str">
        <x:v>e.empln29@iraqioil.gov.ir</x:v>
      </x:c>
      <x:c r="M30"/>
      <x:c r="N30"/>
      <x:c r="O30"/>
      <x:c r="P30"/>
    </x:row>
    <x:row r="31">
      <x:c r="A31" t="n">
        <x:v>30</x:v>
      </x:c>
      <x:c r="B31" t="str">
        <x:v>Engineer</x:v>
      </x:c>
      <x:c r="C31" t="str">
        <x:v>EmpFN30</x:v>
      </x:c>
      <x:c r="D31" t="str">
        <x:v>EmpLN30</x:v>
      </x:c>
      <x:c r="E31" t="str">
        <x:v>M</x:v>
      </x:c>
      <x:c r="F31" t="str">
        <x:v>China</x:v>
      </x:c>
      <x:c r="G31" s="18" t="n">
        <x:v>9647726890</x:v>
      </x:c>
      <x:c r="H31" s="18" t="n">
        <x:v>9647881712</x:v>
      </x:c>
      <x:c r="I31" t="str">
        <x:v>Wife30</x:v>
      </x:c>
      <x:c r="J31" t="n">
        <x:v>1</x:v>
      </x:c>
      <x:c r="K31" t="n">
        <x:v>2</x:v>
      </x:c>
      <x:c r="L31" t="str">
        <x:v>e.empln30@iraqioil.gov.ir</x:v>
      </x:c>
      <x:c r="M31"/>
      <x:c r="N31"/>
      <x:c r="O31"/>
      <x:c r="P31"/>
    </x:row>
    <x:row r="32">
      <x:c r="A32" t="n">
        <x:v>31</x:v>
      </x:c>
      <x:c r="B32" t="str">
        <x:v>Driver</x:v>
      </x:c>
      <x:c r="C32" t="str">
        <x:v>EmpFN31</x:v>
      </x:c>
      <x:c r="D32" t="str">
        <x:v>EmpLN31</x:v>
      </x:c>
      <x:c r="E32" t="str">
        <x:v>M</x:v>
      </x:c>
      <x:c r="F32" t="str">
        <x:v>Germany</x:v>
      </x:c>
      <x:c r="G32" s="18" t="n">
        <x:v>9647918849</x:v>
      </x:c>
      <x:c r="H32" s="18" t="n">
        <x:v>9647224742</x:v>
      </x:c>
      <x:c r="I32" t="str">
        <x:v>Wife31</x:v>
      </x:c>
      <x:c r="J32" t="n">
        <x:v>1</x:v>
      </x:c>
      <x:c r="K32" t="n">
        <x:v>1</x:v>
      </x:c>
      <x:c r="L32" t="str">
        <x:v>e.empln31@iraqioil.gov.ir</x:v>
      </x:c>
      <x:c r="M32"/>
      <x:c r="N32"/>
      <x:c r="O32"/>
      <x:c r="P32"/>
    </x:row>
    <x:row r="33">
      <x:c r="A33" t="n">
        <x:v>32</x:v>
      </x:c>
      <x:c r="B33" t="str">
        <x:v>Driver</x:v>
      </x:c>
      <x:c r="C33" t="str">
        <x:v>EmpFN32</x:v>
      </x:c>
      <x:c r="D33" t="str">
        <x:v>EmpLN32</x:v>
      </x:c>
      <x:c r="E33" t="str">
        <x:v>M</x:v>
      </x:c>
      <x:c r="F33" t="str">
        <x:v>Iraq</x:v>
      </x:c>
      <x:c r="G33" s="18" t="n">
        <x:v>9647117562</x:v>
      </x:c>
      <x:c r="H33" s="18" t="n">
        <x:v>9647445717</x:v>
      </x:c>
      <x:c r="I33" t="str">
        <x:v>Wife32</x:v>
      </x:c>
      <x:c r="J33" t="n">
        <x:v>4</x:v>
      </x:c>
      <x:c r="K33" t="n">
        <x:v>1</x:v>
      </x:c>
      <x:c r="L33" t="str">
        <x:v>e.empln32@iraqioil.gov.ir</x:v>
      </x:c>
      <x:c r="M33"/>
      <x:c r="N33"/>
      <x:c r="O33"/>
      <x:c r="P33"/>
    </x:row>
    <x:row r="34">
      <x:c r="A34" t="n">
        <x:v>33</x:v>
      </x:c>
      <x:c r="B34" t="str">
        <x:v>Admin</x:v>
      </x:c>
      <x:c r="C34" t="str">
        <x:v>EmpFN33</x:v>
      </x:c>
      <x:c r="D34" t="str">
        <x:v>EmpLN33</x:v>
      </x:c>
      <x:c r="E34" t="str">
        <x:v>M</x:v>
      </x:c>
      <x:c r="F34" t="str">
        <x:v>South Korea</x:v>
      </x:c>
      <x:c r="G34" s="18" t="n">
        <x:v>9647213251</x:v>
      </x:c>
      <x:c r="H34" s="18" t="n">
        <x:v>9647687076</x:v>
      </x:c>
      <x:c r="I34" t="str">
        <x:v>Wife33</x:v>
      </x:c>
      <x:c r="J34" t="n">
        <x:v>3</x:v>
      </x:c>
      <x:c r="K34" t="n">
        <x:v>3</x:v>
      </x:c>
      <x:c r="L34" t="str">
        <x:v>e.empln33@iraqioil.gov.ir</x:v>
      </x:c>
      <x:c r="M34"/>
      <x:c r="N34"/>
      <x:c r="O34"/>
      <x:c r="P34"/>
    </x:row>
    <x:row r="35">
      <x:c r="A35" t="n">
        <x:v>34</x:v>
      </x:c>
      <x:c r="B35" t="str">
        <x:v>Engineer</x:v>
      </x:c>
      <x:c r="C35" t="str">
        <x:v>EmpFN34</x:v>
      </x:c>
      <x:c r="D35" t="str">
        <x:v>EmpLN34</x:v>
      </x:c>
      <x:c r="E35" t="str">
        <x:v>M</x:v>
      </x:c>
      <x:c r="F35" t="str">
        <x:v>China</x:v>
      </x:c>
      <x:c r="G35" s="18" t="n">
        <x:v>9647593841</x:v>
      </x:c>
      <x:c r="H35" s="18" t="n">
        <x:v>9647257217</x:v>
      </x:c>
      <x:c r="I35" t="str">
        <x:v>Wife34</x:v>
      </x:c>
      <x:c r="J35" t="n">
        <x:v>2</x:v>
      </x:c>
      <x:c r="K35" t="n">
        <x:v>3</x:v>
      </x:c>
      <x:c r="L35" t="str">
        <x:v>e.empln34@iraqioil.gov.ir</x:v>
      </x:c>
      <x:c r="M35"/>
      <x:c r="N35"/>
      <x:c r="O35"/>
      <x:c r="P35"/>
    </x:row>
    <x:row r="36">
      <x:c r="A36" t="n">
        <x:v>35</x:v>
      </x:c>
      <x:c r="B36" t="str">
        <x:v>Technician</x:v>
      </x:c>
      <x:c r="C36" t="str">
        <x:v>EmpFN35</x:v>
      </x:c>
      <x:c r="D36" t="str">
        <x:v>EmpLN35</x:v>
      </x:c>
      <x:c r="E36" t="str">
        <x:v>M</x:v>
      </x:c>
      <x:c r="F36" t="str">
        <x:v>Iran</x:v>
      </x:c>
      <x:c r="G36" s="18" t="n">
        <x:v>964758956</x:v>
      </x:c>
      <x:c r="H36" s="18" t="n">
        <x:v>9647423618</x:v>
      </x:c>
      <x:c r="I36" t="str">
        <x:v>Wife35</x:v>
      </x:c>
      <x:c r="J36" t="n">
        <x:v>4</x:v>
      </x:c>
      <x:c r="K36" t="n">
        <x:v>2</x:v>
      </x:c>
      <x:c r="L36" t="str">
        <x:v>e.empln35@iraqioil.gov.ir</x:v>
      </x:c>
      <x:c r="M36"/>
      <x:c r="N36"/>
      <x:c r="O36"/>
      <x:c r="P36"/>
    </x:row>
    <x:row r="37">
      <x:c r="A37" t="n">
        <x:v>36</x:v>
      </x:c>
      <x:c r="B37" t="str">
        <x:v>Technician</x:v>
      </x:c>
      <x:c r="C37" t="str">
        <x:v>EmpFN36</x:v>
      </x:c>
      <x:c r="D37" t="str">
        <x:v>EmpLN36</x:v>
      </x:c>
      <x:c r="E37" t="str">
        <x:v>M</x:v>
      </x:c>
      <x:c r="F37" t="str">
        <x:v>Germany</x:v>
      </x:c>
      <x:c r="G37" s="18" t="n">
        <x:v>9647228097</x:v>
      </x:c>
      <x:c r="H37" s="18" t="n">
        <x:v>9647768976</x:v>
      </x:c>
      <x:c r="I37" t="str">
        <x:v>Wife36</x:v>
      </x:c>
      <x:c r="J37" t="n">
        <x:v>0</x:v>
      </x:c>
      <x:c r="K37" t="n">
        <x:v>2</x:v>
      </x:c>
      <x:c r="L37" t="str">
        <x:v>e.empln36@iraqioil.gov.ir</x:v>
      </x:c>
      <x:c r="M37"/>
      <x:c r="N37"/>
      <x:c r="O37"/>
      <x:c r="P37"/>
    </x:row>
    <x:row r="38">
      <x:c r="A38" t="n">
        <x:v>37</x:v>
      </x:c>
      <x:c r="B38" t="str">
        <x:v>Digger</x:v>
      </x:c>
      <x:c r="C38" t="str">
        <x:v>EmpFN37</x:v>
      </x:c>
      <x:c r="D38" t="str">
        <x:v>EmpLN37</x:v>
      </x:c>
      <x:c r="E38" t="str">
        <x:v>M</x:v>
      </x:c>
      <x:c r="F38" t="str">
        <x:v>Germany</x:v>
      </x:c>
      <x:c r="G38" s="18" t="n">
        <x:v>9647524393</x:v>
      </x:c>
      <x:c r="H38" s="18" t="n">
        <x:v>9647110198</x:v>
      </x:c>
      <x:c r="I38" t="str">
        <x:v>Wife37</x:v>
      </x:c>
      <x:c r="J38" t="n">
        <x:v>4</x:v>
      </x:c>
      <x:c r="K38" t="n">
        <x:v>2</x:v>
      </x:c>
      <x:c r="L38" t="str">
        <x:v>e.empln37@iraqioil.gov.ir</x:v>
      </x:c>
      <x:c r="M38"/>
      <x:c r="N38"/>
      <x:c r="O38"/>
      <x:c r="P38"/>
    </x:row>
    <x:row r="39">
      <x:c r="A39" t="n">
        <x:v>38</x:v>
      </x:c>
      <x:c r="B39" t="str">
        <x:v>Digger</x:v>
      </x:c>
      <x:c r="C39" t="str">
        <x:v>EmpFN38</x:v>
      </x:c>
      <x:c r="D39" t="str">
        <x:v>EmpLN38</x:v>
      </x:c>
      <x:c r="E39" t="str">
        <x:v>M</x:v>
      </x:c>
      <x:c r="F39" t="str">
        <x:v>South Korea</x:v>
      </x:c>
      <x:c r="G39" s="18" t="n">
        <x:v>9647519243</x:v>
      </x:c>
      <x:c r="H39" s="18" t="n">
        <x:v>9647738606</x:v>
      </x:c>
      <x:c r="I39" t="str">
        <x:v>Wife38</x:v>
      </x:c>
      <x:c r="J39" t="n">
        <x:v>0</x:v>
      </x:c>
      <x:c r="K39" t="n">
        <x:v>2</x:v>
      </x:c>
      <x:c r="L39" t="str">
        <x:v>e.empln38@iraqioil.gov.ir</x:v>
      </x:c>
      <x:c r="M39"/>
      <x:c r="N39"/>
      <x:c r="O39"/>
      <x:c r="P39"/>
    </x:row>
    <x:row r="40">
      <x:c r="A40" t="n">
        <x:v>39</x:v>
      </x:c>
      <x:c r="B40" t="str">
        <x:v>Digger</x:v>
      </x:c>
      <x:c r="C40" t="str">
        <x:v>EmpFN39</x:v>
      </x:c>
      <x:c r="D40" t="str">
        <x:v>EmpLN39</x:v>
      </x:c>
      <x:c r="E40" t="str">
        <x:v>M</x:v>
      </x:c>
      <x:c r="F40" t="str">
        <x:v>Iraq</x:v>
      </x:c>
      <x:c r="G40" s="18" t="n">
        <x:v>9647835683</x:v>
      </x:c>
      <x:c r="H40" s="18" t="n">
        <x:v>9647861423</x:v>
      </x:c>
      <x:c r="I40" t="str">
        <x:v>Wife39</x:v>
      </x:c>
      <x:c r="J40" t="n">
        <x:v>4</x:v>
      </x:c>
      <x:c r="K40" t="n">
        <x:v>2</x:v>
      </x:c>
      <x:c r="L40" t="str">
        <x:v>e.empln39@iraqioil.gov.ir</x:v>
      </x:c>
      <x:c r="M40"/>
      <x:c r="N40"/>
      <x:c r="O40"/>
      <x:c r="P40"/>
    </x:row>
    <x:row r="41">
      <x:c r="A41" t="n">
        <x:v>40</x:v>
      </x:c>
      <x:c r="B41" t="str">
        <x:v>Driver</x:v>
      </x:c>
      <x:c r="C41" t="str">
        <x:v>EmpFN40</x:v>
      </x:c>
      <x:c r="D41" t="str">
        <x:v>EmpLN40</x:v>
      </x:c>
      <x:c r="E41" t="str">
        <x:v>M</x:v>
      </x:c>
      <x:c r="F41" t="str">
        <x:v>Iraq</x:v>
      </x:c>
      <x:c r="G41" s="18" t="n">
        <x:v>9647721391</x:v>
      </x:c>
      <x:c r="H41" s="18" t="n">
        <x:v>9647149934</x:v>
      </x:c>
      <x:c r="I41" t="str">
        <x:v>Wife40</x:v>
      </x:c>
      <x:c r="J41" t="n">
        <x:v>2</x:v>
      </x:c>
      <x:c r="K41" t="n">
        <x:v>2</x:v>
      </x:c>
      <x:c r="L41" t="str">
        <x:v>e.empln40@iraqioil.gov.ir</x:v>
      </x:c>
      <x:c r="M41"/>
      <x:c r="N41"/>
      <x:c r="O41"/>
      <x:c r="P41"/>
    </x:row>
    <x:row r="42">
      <x:c r="A42" t="n">
        <x:v>41</x:v>
      </x:c>
      <x:c r="B42" t="str">
        <x:v>Driver</x:v>
      </x:c>
      <x:c r="C42" t="str">
        <x:v>EmpFN41</x:v>
      </x:c>
      <x:c r="D42" t="str">
        <x:v>EmpLN41</x:v>
      </x:c>
      <x:c r="E42" t="str">
        <x:v>M</x:v>
      </x:c>
      <x:c r="F42" t="str">
        <x:v>South Korea</x:v>
      </x:c>
      <x:c r="G42" s="18" t="n">
        <x:v>9647737383</x:v>
      </x:c>
      <x:c r="H42" s="18" t="n">
        <x:v>9647506994</x:v>
      </x:c>
      <x:c r="I42" t="str">
        <x:v>Wife41</x:v>
      </x:c>
      <x:c r="J42" t="n">
        <x:v>1</x:v>
      </x:c>
      <x:c r="K42" t="n">
        <x:v>1</x:v>
      </x:c>
      <x:c r="L42" t="str">
        <x:v>e.empln41@iraqioil.gov.ir</x:v>
      </x:c>
      <x:c r="M42"/>
      <x:c r="N42"/>
      <x:c r="O42"/>
      <x:c r="P42"/>
    </x:row>
    <x:row r="43">
      <x:c r="A43" t="n">
        <x:v>42</x:v>
      </x:c>
      <x:c r="B43" t="str">
        <x:v>Admin</x:v>
      </x:c>
      <x:c r="C43" t="str">
        <x:v>EmpFN42</x:v>
      </x:c>
      <x:c r="D43" t="str">
        <x:v>EmpLN42</x:v>
      </x:c>
      <x:c r="E43" t="str">
        <x:v>M</x:v>
      </x:c>
      <x:c r="F43" t="str">
        <x:v>China</x:v>
      </x:c>
      <x:c r="G43" s="18" t="n">
        <x:v>9647541597</x:v>
      </x:c>
      <x:c r="H43" s="18" t="n">
        <x:v>964788047</x:v>
      </x:c>
      <x:c r="I43" t="str">
        <x:v>Wife42</x:v>
      </x:c>
      <x:c r="J43" t="n">
        <x:v>4</x:v>
      </x:c>
      <x:c r="K43" t="n">
        <x:v>3</x:v>
      </x:c>
      <x:c r="L43" t="str">
        <x:v>e.empln42@iraqioil.gov.ir</x:v>
      </x:c>
      <x:c r="M43"/>
      <x:c r="N43"/>
      <x:c r="O43"/>
      <x:c r="P43"/>
    </x:row>
    <x:row r="44">
      <x:c r="A44" t="n">
        <x:v>43</x:v>
      </x:c>
      <x:c r="B44" t="str">
        <x:v>Driver</x:v>
      </x:c>
      <x:c r="C44" t="str">
        <x:v>EmpFN43</x:v>
      </x:c>
      <x:c r="D44" t="str">
        <x:v>EmpLN43</x:v>
      </x:c>
      <x:c r="E44" t="str">
        <x:v>M</x:v>
      </x:c>
      <x:c r="F44" t="str">
        <x:v>South Korea</x:v>
      </x:c>
      <x:c r="G44" s="18" t="n">
        <x:v>9647423922</x:v>
      </x:c>
      <x:c r="H44" s="18" t="n">
        <x:v>9647150873</x:v>
      </x:c>
      <x:c r="I44" t="str">
        <x:v>Wife43</x:v>
      </x:c>
      <x:c r="J44" t="n">
        <x:v>2</x:v>
      </x:c>
      <x:c r="K44" t="n">
        <x:v>3</x:v>
      </x:c>
      <x:c r="L44" t="str">
        <x:v>e.empln43@iraqioil.gov.ir</x:v>
      </x:c>
      <x:c r="M44"/>
      <x:c r="N44"/>
      <x:c r="O44"/>
      <x:c r="P44"/>
    </x:row>
    <x:row r="45">
      <x:c r="A45" t="n">
        <x:v>44</x:v>
      </x:c>
      <x:c r="B45" t="str">
        <x:v>Technician</x:v>
      </x:c>
      <x:c r="C45" t="str">
        <x:v>EmpFN44</x:v>
      </x:c>
      <x:c r="D45" t="str">
        <x:v>EmpLN44</x:v>
      </x:c>
      <x:c r="E45" t="str">
        <x:v>M</x:v>
      </x:c>
      <x:c r="F45" t="str">
        <x:v>Iran</x:v>
      </x:c>
      <x:c r="G45" s="18" t="n">
        <x:v>9647385286</x:v>
      </x:c>
      <x:c r="H45" s="18" t="n">
        <x:v>9647257805</x:v>
      </x:c>
      <x:c r="I45" t="str">
        <x:v>Wife44</x:v>
      </x:c>
      <x:c r="J45" t="n">
        <x:v>0</x:v>
      </x:c>
      <x:c r="K45" t="n">
        <x:v>3</x:v>
      </x:c>
      <x:c r="L45" t="str">
        <x:v>e.empln44@iraqioil.gov.ir</x:v>
      </x:c>
      <x:c r="M45"/>
      <x:c r="N45"/>
      <x:c r="O45"/>
      <x:c r="P45"/>
    </x:row>
    <x:row r="46">
      <x:c r="A46" t="n">
        <x:v>45</x:v>
      </x:c>
      <x:c r="B46" t="str">
        <x:v>Engineer</x:v>
      </x:c>
      <x:c r="C46" t="str">
        <x:v>EmpFN45</x:v>
      </x:c>
      <x:c r="D46" t="str">
        <x:v>EmpLN45</x:v>
      </x:c>
      <x:c r="E46" t="str">
        <x:v>M</x:v>
      </x:c>
      <x:c r="F46" t="str">
        <x:v>South Korea</x:v>
      </x:c>
      <x:c r="G46" s="18" t="n">
        <x:v>9647991521</x:v>
      </x:c>
      <x:c r="H46" s="18" t="n">
        <x:v>964749955</x:v>
      </x:c>
      <x:c r="I46" t="str">
        <x:v>Wife45</x:v>
      </x:c>
      <x:c r="J46" t="n">
        <x:v>1</x:v>
      </x:c>
      <x:c r="K46" t="n">
        <x:v>1</x:v>
      </x:c>
      <x:c r="L46" t="str">
        <x:v>e.empln45@iraqioil.gov.ir</x:v>
      </x:c>
      <x:c r="M46"/>
      <x:c r="N46"/>
      <x:c r="O46"/>
      <x:c r="P46"/>
    </x:row>
    <x:row r="47">
      <x:c r="A47" t="n">
        <x:v>46</x:v>
      </x:c>
      <x:c r="B47" t="str">
        <x:v>Technician</x:v>
      </x:c>
      <x:c r="C47" t="str">
        <x:v>EmpFN46</x:v>
      </x:c>
      <x:c r="D47" t="str">
        <x:v>EmpLN46</x:v>
      </x:c>
      <x:c r="E47" t="str">
        <x:v>M</x:v>
      </x:c>
      <x:c r="F47" t="str">
        <x:v>Iran</x:v>
      </x:c>
      <x:c r="G47" s="18" t="n">
        <x:v>9647323644</x:v>
      </x:c>
      <x:c r="H47" s="18" t="n">
        <x:v>964774512</x:v>
      </x:c>
      <x:c r="I47" t="str">
        <x:v>Wife46</x:v>
      </x:c>
      <x:c r="J47" t="n">
        <x:v>2</x:v>
      </x:c>
      <x:c r="K47" t="n">
        <x:v>3</x:v>
      </x:c>
      <x:c r="L47" t="str">
        <x:v>e.empln46@iraqioil.gov.ir</x:v>
      </x:c>
      <x:c r="M47"/>
      <x:c r="N47"/>
      <x:c r="O47"/>
      <x:c r="P47"/>
    </x:row>
    <x:row r="48">
      <x:c r="A48" t="n">
        <x:v>47</x:v>
      </x:c>
      <x:c r="B48" t="str">
        <x:v>Driver</x:v>
      </x:c>
      <x:c r="C48" t="str">
        <x:v>EmpFN47</x:v>
      </x:c>
      <x:c r="D48" t="str">
        <x:v>EmpLN47</x:v>
      </x:c>
      <x:c r="E48" t="str">
        <x:v>M</x:v>
      </x:c>
      <x:c r="F48" t="str">
        <x:v>China</x:v>
      </x:c>
      <x:c r="G48" s="18" t="n">
        <x:v>964729678</x:v>
      </x:c>
      <x:c r="H48" s="18" t="n">
        <x:v>9647437963</x:v>
      </x:c>
      <x:c r="I48" t="str">
        <x:v>Wife47</x:v>
      </x:c>
      <x:c r="J48" t="n">
        <x:v>0</x:v>
      </x:c>
      <x:c r="K48" t="n">
        <x:v>1</x:v>
      </x:c>
      <x:c r="L48" t="str">
        <x:v>e.empln47@iraqioil.gov.ir</x:v>
      </x:c>
      <x:c r="M48"/>
      <x:c r="N48"/>
      <x:c r="O48"/>
      <x:c r="P48"/>
    </x:row>
    <x:row r="49">
      <x:c r="A49" t="n">
        <x:v>48</x:v>
      </x:c>
      <x:c r="B49" t="str">
        <x:v>Driver</x:v>
      </x:c>
      <x:c r="C49" t="str">
        <x:v>EmpFN48</x:v>
      </x:c>
      <x:c r="D49" t="str">
        <x:v>EmpLN48</x:v>
      </x:c>
      <x:c r="E49" t="str">
        <x:v>M</x:v>
      </x:c>
      <x:c r="F49" t="str">
        <x:v>South Korea</x:v>
      </x:c>
      <x:c r="G49" s="18" t="n">
        <x:v>9647400718</x:v>
      </x:c>
      <x:c r="H49" s="18" t="n">
        <x:v>9647997162</x:v>
      </x:c>
      <x:c r="I49" t="str">
        <x:v>Wife48</x:v>
      </x:c>
      <x:c r="J49" t="n">
        <x:v>3</x:v>
      </x:c>
      <x:c r="K49" t="n">
        <x:v>3</x:v>
      </x:c>
      <x:c r="L49" t="str">
        <x:v>e.empln48@iraqioil.gov.ir</x:v>
      </x:c>
      <x:c r="M49"/>
      <x:c r="N49"/>
      <x:c r="O49"/>
      <x:c r="P49"/>
    </x:row>
    <x:row r="50">
      <x:c r="A50" t="n">
        <x:v>49</x:v>
      </x:c>
      <x:c r="B50" t="str">
        <x:v>Technician</x:v>
      </x:c>
      <x:c r="C50" t="str">
        <x:v>EmpFN49</x:v>
      </x:c>
      <x:c r="D50" t="str">
        <x:v>EmpLN49</x:v>
      </x:c>
      <x:c r="E50" t="str">
        <x:v>M</x:v>
      </x:c>
      <x:c r="F50" t="str">
        <x:v>South Korea</x:v>
      </x:c>
      <x:c r="G50" s="18" t="n">
        <x:v>9647323936</x:v>
      </x:c>
      <x:c r="H50" s="18" t="n">
        <x:v>9647715936</x:v>
      </x:c>
      <x:c r="I50" t="str">
        <x:v>Wife49</x:v>
      </x:c>
      <x:c r="J50" t="n">
        <x:v>3</x:v>
      </x:c>
      <x:c r="K50" t="n">
        <x:v>3</x:v>
      </x:c>
      <x:c r="L50" t="str">
        <x:v>e.empln49@iraqioil.gov.ir</x:v>
      </x:c>
      <x:c r="M50"/>
      <x:c r="N50"/>
      <x:c r="O50"/>
      <x:c r="P50"/>
    </x:row>
    <x:row r="51">
      <x:c r="A51" t="n">
        <x:v>50</x:v>
      </x:c>
      <x:c r="B51" t="str">
        <x:v>Driver</x:v>
      </x:c>
      <x:c r="C51" t="str">
        <x:v>EmpFN50</x:v>
      </x:c>
      <x:c r="D51" t="str">
        <x:v>EmpLN50</x:v>
      </x:c>
      <x:c r="E51" t="str">
        <x:v>M</x:v>
      </x:c>
      <x:c r="F51" t="str">
        <x:v>Germany</x:v>
      </x:c>
      <x:c r="G51" s="18" t="n">
        <x:v>9647577870</x:v>
      </x:c>
      <x:c r="H51" s="18" t="n">
        <x:v>9647401173</x:v>
      </x:c>
      <x:c r="I51" t="str">
        <x:v>Wife50</x:v>
      </x:c>
      <x:c r="J51" t="n">
        <x:v>1</x:v>
      </x:c>
      <x:c r="K51" t="n">
        <x:v>1</x:v>
      </x:c>
      <x:c r="L51" t="str">
        <x:v>e.empln50@iraqioil.gov.ir</x:v>
      </x:c>
      <x:c r="M51"/>
      <x:c r="N51"/>
      <x:c r="O51"/>
      <x:c r="P51"/>
    </x:row>
    <x:row r="52">
      <x:c r="A52" t="n">
        <x:v>51</x:v>
      </x:c>
      <x:c r="B52" t="str">
        <x:v>Digger</x:v>
      </x:c>
      <x:c r="C52" t="str">
        <x:v>EmpFN51</x:v>
      </x:c>
      <x:c r="D52" t="str">
        <x:v>EmpLN51</x:v>
      </x:c>
      <x:c r="E52" t="str">
        <x:v>M</x:v>
      </x:c>
      <x:c r="F52" t="str">
        <x:v>China</x:v>
      </x:c>
      <x:c r="G52" s="18" t="n">
        <x:v>964718702</x:v>
      </x:c>
      <x:c r="H52" s="18" t="n">
        <x:v>9647932594</x:v>
      </x:c>
      <x:c r="I52" t="str">
        <x:v>Wife51</x:v>
      </x:c>
      <x:c r="J52" t="n">
        <x:v>3</x:v>
      </x:c>
      <x:c r="K52" t="n">
        <x:v>1</x:v>
      </x:c>
      <x:c r="L52" t="str">
        <x:v>e.empln51@iraqioil.gov.ir</x:v>
      </x:c>
      <x:c r="M52"/>
      <x:c r="N52"/>
      <x:c r="O52"/>
      <x:c r="P52"/>
    </x:row>
    <x:row r="53">
      <x:c r="A53" t="n">
        <x:v>52</x:v>
      </x:c>
      <x:c r="B53" t="str">
        <x:v>Technician</x:v>
      </x:c>
      <x:c r="C53" t="str">
        <x:v>EmpFN52</x:v>
      </x:c>
      <x:c r="D53" t="str">
        <x:v>EmpLN52</x:v>
      </x:c>
      <x:c r="E53" t="str">
        <x:v>M</x:v>
      </x:c>
      <x:c r="F53" t="str">
        <x:v>Iraq</x:v>
      </x:c>
      <x:c r="G53" s="18" t="n">
        <x:v>9647417826</x:v>
      </x:c>
      <x:c r="H53" s="18" t="n">
        <x:v>9647786687</x:v>
      </x:c>
      <x:c r="I53" t="str">
        <x:v>Wife52</x:v>
      </x:c>
      <x:c r="J53" t="n">
        <x:v>3</x:v>
      </x:c>
      <x:c r="K53" t="n">
        <x:v>1</x:v>
      </x:c>
      <x:c r="L53" t="str">
        <x:v>e.empln52@iraqioil.gov.ir</x:v>
      </x:c>
      <x:c r="M53"/>
      <x:c r="N53"/>
      <x:c r="O53"/>
      <x:c r="P53"/>
    </x:row>
    <x:row r="54">
      <x:c r="A54" t="n">
        <x:v>53</x:v>
      </x:c>
      <x:c r="B54" t="str">
        <x:v>Engineer</x:v>
      </x:c>
      <x:c r="C54" t="str">
        <x:v>EmpFN53</x:v>
      </x:c>
      <x:c r="D54" t="str">
        <x:v>EmpLN53</x:v>
      </x:c>
      <x:c r="E54" t="str">
        <x:v>M</x:v>
      </x:c>
      <x:c r="F54" t="str">
        <x:v>South Korea</x:v>
      </x:c>
      <x:c r="G54" s="18" t="n">
        <x:v>9647895810</x:v>
      </x:c>
      <x:c r="H54" s="18" t="n">
        <x:v>9647455898</x:v>
      </x:c>
      <x:c r="I54" t="str">
        <x:v>Wife53</x:v>
      </x:c>
      <x:c r="J54" t="n">
        <x:v>2</x:v>
      </x:c>
      <x:c r="K54" t="n">
        <x:v>2</x:v>
      </x:c>
      <x:c r="L54" t="str">
        <x:v>e.empln53@iraqioil.gov.ir</x:v>
      </x:c>
      <x:c r="M54"/>
      <x:c r="N54"/>
      <x:c r="O54"/>
      <x:c r="P54"/>
    </x:row>
    <x:row r="55">
      <x:c r="A55" t="n">
        <x:v>54</x:v>
      </x:c>
      <x:c r="B55" t="str">
        <x:v>Engineer</x:v>
      </x:c>
      <x:c r="C55" t="str">
        <x:v>EmpFN54</x:v>
      </x:c>
      <x:c r="D55" t="str">
        <x:v>EmpLN54</x:v>
      </x:c>
      <x:c r="E55" t="str">
        <x:v>M</x:v>
      </x:c>
      <x:c r="F55" t="str">
        <x:v>Iraq</x:v>
      </x:c>
      <x:c r="G55" s="18" t="n">
        <x:v>9647220851</x:v>
      </x:c>
      <x:c r="H55" s="18" t="n">
        <x:v>9647635488</x:v>
      </x:c>
      <x:c r="I55" t="str">
        <x:v>Wife54</x:v>
      </x:c>
      <x:c r="J55" t="n">
        <x:v>2</x:v>
      </x:c>
      <x:c r="K55" t="n">
        <x:v>3</x:v>
      </x:c>
      <x:c r="L55" t="str">
        <x:v>e.empln54@iraqioil.gov.ir</x:v>
      </x:c>
      <x:c r="M55"/>
      <x:c r="N55"/>
      <x:c r="O55"/>
      <x:c r="P55"/>
    </x:row>
    <x:row r="56">
      <x:c r="A56" t="n">
        <x:v>55</x:v>
      </x:c>
      <x:c r="B56" t="str">
        <x:v>Driver</x:v>
      </x:c>
      <x:c r="C56" t="str">
        <x:v>EmpFN55</x:v>
      </x:c>
      <x:c r="D56" t="str">
        <x:v>EmpLN55</x:v>
      </x:c>
      <x:c r="E56" t="str">
        <x:v>M</x:v>
      </x:c>
      <x:c r="F56" t="str">
        <x:v>Iran</x:v>
      </x:c>
      <x:c r="G56" s="18" t="n">
        <x:v>9647475779</x:v>
      </x:c>
      <x:c r="H56" s="18" t="n">
        <x:v>9647461976</x:v>
      </x:c>
      <x:c r="I56" t="str">
        <x:v>Wife55</x:v>
      </x:c>
      <x:c r="J56" t="n">
        <x:v>4</x:v>
      </x:c>
      <x:c r="K56" t="n">
        <x:v>1</x:v>
      </x:c>
      <x:c r="L56" t="str">
        <x:v>e.empln55@iraqioil.gov.ir</x:v>
      </x:c>
      <x:c r="M56"/>
      <x:c r="N56"/>
      <x:c r="O56"/>
      <x:c r="P56"/>
    </x:row>
    <x:row r="57">
      <x:c r="A57" t="n">
        <x:v>56</x:v>
      </x:c>
      <x:c r="B57" t="str">
        <x:v>Admin</x:v>
      </x:c>
      <x:c r="C57" t="str">
        <x:v>EmpFN56</x:v>
      </x:c>
      <x:c r="D57" t="str">
        <x:v>EmpLN56</x:v>
      </x:c>
      <x:c r="E57" t="str">
        <x:v>M</x:v>
      </x:c>
      <x:c r="F57" t="str">
        <x:v>China</x:v>
      </x:c>
      <x:c r="G57" s="18" t="n">
        <x:v>9647297515</x:v>
      </x:c>
      <x:c r="H57" s="18" t="n">
        <x:v>9647433659</x:v>
      </x:c>
      <x:c r="I57" t="str">
        <x:v>Wife56</x:v>
      </x:c>
      <x:c r="J57" t="n">
        <x:v>1</x:v>
      </x:c>
      <x:c r="K57" t="n">
        <x:v>1</x:v>
      </x:c>
      <x:c r="L57" t="str">
        <x:v>e.empln56@iraqioil.gov.ir</x:v>
      </x:c>
      <x:c r="M57"/>
      <x:c r="N57"/>
      <x:c r="O57"/>
      <x:c r="P57"/>
    </x:row>
    <x:row r="58">
      <x:c r="A58" t="n">
        <x:v>57</x:v>
      </x:c>
      <x:c r="B58" t="str">
        <x:v>Admin</x:v>
      </x:c>
      <x:c r="C58" t="str">
        <x:v>EmpFN57</x:v>
      </x:c>
      <x:c r="D58" t="str">
        <x:v>EmpLN57</x:v>
      </x:c>
      <x:c r="E58" t="str">
        <x:v>M</x:v>
      </x:c>
      <x:c r="F58" t="str">
        <x:v>Germany</x:v>
      </x:c>
      <x:c r="G58" s="18" t="n">
        <x:v>9647189859</x:v>
      </x:c>
      <x:c r="H58" s="18" t="n">
        <x:v>9647224385</x:v>
      </x:c>
      <x:c r="I58" t="str">
        <x:v>Wife57</x:v>
      </x:c>
      <x:c r="J58" t="n">
        <x:v>2</x:v>
      </x:c>
      <x:c r="K58" t="n">
        <x:v>1</x:v>
      </x:c>
      <x:c r="L58" t="str">
        <x:v>e.empln57@iraqioil.gov.ir</x:v>
      </x:c>
      <x:c r="M58"/>
      <x:c r="N58"/>
      <x:c r="O58"/>
      <x:c r="P58"/>
    </x:row>
    <x:row r="59">
      <x:c r="A59" t="n">
        <x:v>58</x:v>
      </x:c>
      <x:c r="B59" t="str">
        <x:v>Driver</x:v>
      </x:c>
      <x:c r="C59" t="str">
        <x:v>EmpFN58</x:v>
      </x:c>
      <x:c r="D59" t="str">
        <x:v>EmpLN58</x:v>
      </x:c>
      <x:c r="E59" t="str">
        <x:v>M</x:v>
      </x:c>
      <x:c r="F59" t="str">
        <x:v>South Korea</x:v>
      </x:c>
      <x:c r="G59" s="18" t="n">
        <x:v>9647961373</x:v>
      </x:c>
      <x:c r="H59" s="18" t="n">
        <x:v>9647815380</x:v>
      </x:c>
      <x:c r="I59" t="str">
        <x:v>Wife58</x:v>
      </x:c>
      <x:c r="J59" t="n">
        <x:v>0</x:v>
      </x:c>
      <x:c r="K59" t="n">
        <x:v>2</x:v>
      </x:c>
      <x:c r="L59" t="str">
        <x:v>e.empln58@iraqioil.gov.ir</x:v>
      </x:c>
      <x:c r="M59"/>
      <x:c r="N59"/>
      <x:c r="O59"/>
      <x:c r="P59"/>
    </x:row>
    <x:row r="60">
      <x:c r="A60" t="n">
        <x:v>59</x:v>
      </x:c>
      <x:c r="B60" t="str">
        <x:v>Engineer</x:v>
      </x:c>
      <x:c r="C60" t="str">
        <x:v>EmpFN59</x:v>
      </x:c>
      <x:c r="D60" t="str">
        <x:v>EmpLN59</x:v>
      </x:c>
      <x:c r="E60" t="str">
        <x:v>M</x:v>
      </x:c>
      <x:c r="F60" t="str">
        <x:v>Germany</x:v>
      </x:c>
      <x:c r="G60" s="18" t="n">
        <x:v>9647465735</x:v>
      </x:c>
      <x:c r="H60" s="18" t="n">
        <x:v>9647830214</x:v>
      </x:c>
      <x:c r="I60" t="str">
        <x:v>Wife59</x:v>
      </x:c>
      <x:c r="J60" t="n">
        <x:v>3</x:v>
      </x:c>
      <x:c r="K60" t="n">
        <x:v>1</x:v>
      </x:c>
      <x:c r="L60" t="str">
        <x:v>e.empln59@iraqioil.gov.ir</x:v>
      </x:c>
      <x:c r="M60"/>
      <x:c r="N60"/>
      <x:c r="O60"/>
      <x:c r="P60"/>
    </x:row>
    <x:row r="61">
      <x:c r="A61" t="n">
        <x:v>60</x:v>
      </x:c>
      <x:c r="B61" t="str">
        <x:v>Engineer</x:v>
      </x:c>
      <x:c r="C61" t="str">
        <x:v>EmpFN60</x:v>
      </x:c>
      <x:c r="D61" t="str">
        <x:v>EmpLN60</x:v>
      </x:c>
      <x:c r="E61" t="str">
        <x:v>M</x:v>
      </x:c>
      <x:c r="F61" t="str">
        <x:v>Iran</x:v>
      </x:c>
      <x:c r="G61" s="18" t="n">
        <x:v>9647719735</x:v>
      </x:c>
      <x:c r="H61" s="18" t="n">
        <x:v>9647129566</x:v>
      </x:c>
      <x:c r="I61" t="str">
        <x:v>Wife60</x:v>
      </x:c>
      <x:c r="J61" t="n">
        <x:v>2</x:v>
      </x:c>
      <x:c r="K61" t="n">
        <x:v>1</x:v>
      </x:c>
      <x:c r="L61" t="str">
        <x:v>e.empln60@iraqioil.gov.ir</x:v>
      </x:c>
      <x:c r="M61"/>
      <x:c r="N61"/>
      <x:c r="O61"/>
      <x:c r="P61"/>
    </x:row>
    <x:row r="62">
      <x:c r="A62" t="n">
        <x:v>61</x:v>
      </x:c>
      <x:c r="B62" t="str">
        <x:v>Digger</x:v>
      </x:c>
      <x:c r="C62" t="str">
        <x:v>EmpFN61</x:v>
      </x:c>
      <x:c r="D62" t="str">
        <x:v>EmpLN61</x:v>
      </x:c>
      <x:c r="E62" t="str">
        <x:v>M</x:v>
      </x:c>
      <x:c r="F62" t="str">
        <x:v>Iran</x:v>
      </x:c>
      <x:c r="G62" s="18" t="n">
        <x:v>9647920850</x:v>
      </x:c>
      <x:c r="H62" s="18" t="n">
        <x:v>9647518</x:v>
      </x:c>
      <x:c r="I62" t="str">
        <x:v>Wife61</x:v>
      </x:c>
      <x:c r="J62" t="n">
        <x:v>1</x:v>
      </x:c>
      <x:c r="K62" t="n">
        <x:v>1</x:v>
      </x:c>
      <x:c r="L62" t="str">
        <x:v>e.empln61@iraqioil.gov.ir</x:v>
      </x:c>
      <x:c r="M62"/>
      <x:c r="N62"/>
      <x:c r="O62"/>
      <x:c r="P62"/>
    </x:row>
    <x:row r="63">
      <x:c r="A63" t="n">
        <x:v>62</x:v>
      </x:c>
      <x:c r="B63" t="str">
        <x:v>Technician</x:v>
      </x:c>
      <x:c r="C63" t="str">
        <x:v>EmpFN62</x:v>
      </x:c>
      <x:c r="D63" t="str">
        <x:v>EmpLN62</x:v>
      </x:c>
      <x:c r="E63" t="str">
        <x:v>M</x:v>
      </x:c>
      <x:c r="F63" t="str">
        <x:v>South Korea</x:v>
      </x:c>
      <x:c r="G63" s="18" t="n">
        <x:v>964728879</x:v>
      </x:c>
      <x:c r="H63" s="18" t="n">
        <x:v>9647835457</x:v>
      </x:c>
      <x:c r="I63" t="str">
        <x:v>Wife62</x:v>
      </x:c>
      <x:c r="J63" t="n">
        <x:v>0</x:v>
      </x:c>
      <x:c r="K63" t="n">
        <x:v>3</x:v>
      </x:c>
      <x:c r="L63" t="str">
        <x:v>e.empln62@iraqioil.gov.ir</x:v>
      </x:c>
      <x:c r="M63"/>
      <x:c r="N63"/>
      <x:c r="O63"/>
      <x:c r="P63"/>
    </x:row>
    <x:row r="64">
      <x:c r="A64" t="n">
        <x:v>63</x:v>
      </x:c>
      <x:c r="B64" t="str">
        <x:v>Admin</x:v>
      </x:c>
      <x:c r="C64" t="str">
        <x:v>EmpFN63</x:v>
      </x:c>
      <x:c r="D64" t="str">
        <x:v>EmpLN63</x:v>
      </x:c>
      <x:c r="E64" t="str">
        <x:v>M</x:v>
      </x:c>
      <x:c r="F64" t="str">
        <x:v>Germany</x:v>
      </x:c>
      <x:c r="G64" s="18" t="n">
        <x:v>9647969603</x:v>
      </x:c>
      <x:c r="H64" s="18" t="n">
        <x:v>9647433949</x:v>
      </x:c>
      <x:c r="I64" t="str">
        <x:v>Wife63</x:v>
      </x:c>
      <x:c r="J64" t="n">
        <x:v>1</x:v>
      </x:c>
      <x:c r="K64" t="n">
        <x:v>1</x:v>
      </x:c>
      <x:c r="L64" t="str">
        <x:v>e.empln63@iraqioil.gov.ir</x:v>
      </x:c>
      <x:c r="M64"/>
      <x:c r="N64"/>
      <x:c r="O64"/>
      <x:c r="P64"/>
    </x:row>
    <x:row r="65">
      <x:c r="A65" t="n">
        <x:v>64</x:v>
      </x:c>
      <x:c r="B65" t="str">
        <x:v>Technician</x:v>
      </x:c>
      <x:c r="C65" t="str">
        <x:v>EmpFN64</x:v>
      </x:c>
      <x:c r="D65" t="str">
        <x:v>EmpLN64</x:v>
      </x:c>
      <x:c r="E65" t="str">
        <x:v>M</x:v>
      </x:c>
      <x:c r="F65" t="str">
        <x:v>Iraq</x:v>
      </x:c>
      <x:c r="G65" s="18" t="n">
        <x:v>964748756</x:v>
      </x:c>
      <x:c r="H65" s="18" t="n">
        <x:v>9647797951</x:v>
      </x:c>
      <x:c r="I65" t="str">
        <x:v>Wife64</x:v>
      </x:c>
      <x:c r="J65" t="n">
        <x:v>4</x:v>
      </x:c>
      <x:c r="K65" t="n">
        <x:v>3</x:v>
      </x:c>
      <x:c r="L65" t="str">
        <x:v>e.empln64@iraqioil.gov.ir</x:v>
      </x:c>
      <x:c r="M65"/>
      <x:c r="N65"/>
      <x:c r="O65"/>
      <x:c r="P65"/>
    </x:row>
    <x:row r="66">
      <x:c r="A66" t="n">
        <x:v>65</x:v>
      </x:c>
      <x:c r="B66" t="str">
        <x:v>Admin</x:v>
      </x:c>
      <x:c r="C66" t="str">
        <x:v>EmpFN65</x:v>
      </x:c>
      <x:c r="D66" t="str">
        <x:v>EmpLN65</x:v>
      </x:c>
      <x:c r="E66" t="str">
        <x:v>M</x:v>
      </x:c>
      <x:c r="F66" t="str">
        <x:v>Germany</x:v>
      </x:c>
      <x:c r="G66" s="18" t="n">
        <x:v>9647570618</x:v>
      </x:c>
      <x:c r="H66" s="18" t="n">
        <x:v>9647453266</x:v>
      </x:c>
      <x:c r="I66" t="str">
        <x:v>Wife65</x:v>
      </x:c>
      <x:c r="J66" t="n">
        <x:v>2</x:v>
      </x:c>
      <x:c r="K66" t="n">
        <x:v>2</x:v>
      </x:c>
      <x:c r="L66" t="str">
        <x:v>e.empln65@iraqioil.gov.ir</x:v>
      </x:c>
      <x:c r="M66"/>
      <x:c r="N66"/>
      <x:c r="O66"/>
      <x:c r="P66"/>
    </x:row>
    <x:row r="67">
      <x:c r="A67" t="n">
        <x:v>66</x:v>
      </x:c>
      <x:c r="B67" t="str">
        <x:v>Technician</x:v>
      </x:c>
      <x:c r="C67" t="str">
        <x:v>EmpFN66</x:v>
      </x:c>
      <x:c r="D67" t="str">
        <x:v>EmpLN66</x:v>
      </x:c>
      <x:c r="E67" t="str">
        <x:v>M</x:v>
      </x:c>
      <x:c r="F67" t="str">
        <x:v>South Korea</x:v>
      </x:c>
      <x:c r="G67" s="18" t="n">
        <x:v>9647600749</x:v>
      </x:c>
      <x:c r="H67" s="18" t="n">
        <x:v>9647724145</x:v>
      </x:c>
      <x:c r="I67" t="str">
        <x:v>Wife66</x:v>
      </x:c>
      <x:c r="J67" t="n">
        <x:v>4</x:v>
      </x:c>
      <x:c r="K67" t="n">
        <x:v>3</x:v>
      </x:c>
      <x:c r="L67" t="str">
        <x:v>e.empln66@iraqioil.gov.ir</x:v>
      </x:c>
      <x:c r="M67"/>
      <x:c r="N67"/>
      <x:c r="O67"/>
      <x:c r="P67"/>
    </x:row>
    <x:row r="68">
      <x:c r="A68" t="n">
        <x:v>67</x:v>
      </x:c>
      <x:c r="B68" t="str">
        <x:v>Engineer</x:v>
      </x:c>
      <x:c r="C68" t="str">
        <x:v>EmpFN67</x:v>
      </x:c>
      <x:c r="D68" t="str">
        <x:v>EmpLN67</x:v>
      </x:c>
      <x:c r="E68" t="str">
        <x:v>M</x:v>
      </x:c>
      <x:c r="F68" t="str">
        <x:v>Iran</x:v>
      </x:c>
      <x:c r="G68" s="18" t="n">
        <x:v>9647376768</x:v>
      </x:c>
      <x:c r="H68" s="18" t="n">
        <x:v>9647997910</x:v>
      </x:c>
      <x:c r="I68" t="str">
        <x:v>Wife67</x:v>
      </x:c>
      <x:c r="J68" t="n">
        <x:v>4</x:v>
      </x:c>
      <x:c r="K68" t="n">
        <x:v>1</x:v>
      </x:c>
      <x:c r="L68" t="str">
        <x:v>e.empln67@iraqioil.gov.ir</x:v>
      </x:c>
      <x:c r="M68"/>
      <x:c r="N68"/>
      <x:c r="O68"/>
      <x:c r="P68"/>
    </x:row>
    <x:row r="69">
      <x:c r="A69" t="n">
        <x:v>68</x:v>
      </x:c>
      <x:c r="B69" t="str">
        <x:v>Digger</x:v>
      </x:c>
      <x:c r="C69" t="str">
        <x:v>EmpFN68</x:v>
      </x:c>
      <x:c r="D69" t="str">
        <x:v>EmpLN68</x:v>
      </x:c>
      <x:c r="E69" t="str">
        <x:v>M</x:v>
      </x:c>
      <x:c r="F69" t="str">
        <x:v>South Korea</x:v>
      </x:c>
      <x:c r="G69" s="18" t="n">
        <x:v>964726959</x:v>
      </x:c>
      <x:c r="H69" s="18" t="n">
        <x:v>9647836080</x:v>
      </x:c>
      <x:c r="I69" t="str">
        <x:v>Wife68</x:v>
      </x:c>
      <x:c r="J69" t="n">
        <x:v>0</x:v>
      </x:c>
      <x:c r="K69" t="n">
        <x:v>3</x:v>
      </x:c>
      <x:c r="L69" t="str">
        <x:v>e.empln68@iraqioil.gov.ir</x:v>
      </x:c>
      <x:c r="M69"/>
      <x:c r="N69"/>
      <x:c r="O69"/>
      <x:c r="P69"/>
    </x:row>
    <x:row r="70">
      <x:c r="A70" t="n">
        <x:v>69</x:v>
      </x:c>
      <x:c r="B70" t="str">
        <x:v>Driver</x:v>
      </x:c>
      <x:c r="C70" t="str">
        <x:v>EmpFN69</x:v>
      </x:c>
      <x:c r="D70" t="str">
        <x:v>EmpLN69</x:v>
      </x:c>
      <x:c r="E70" t="str">
        <x:v>M</x:v>
      </x:c>
      <x:c r="F70" t="str">
        <x:v>China</x:v>
      </x:c>
      <x:c r="G70" s="18" t="n">
        <x:v>9647422829</x:v>
      </x:c>
      <x:c r="H70" s="18" t="n">
        <x:v>9647293430</x:v>
      </x:c>
      <x:c r="I70" t="str">
        <x:v>Wife69</x:v>
      </x:c>
      <x:c r="J70" t="n">
        <x:v>0</x:v>
      </x:c>
      <x:c r="K70" t="n">
        <x:v>1</x:v>
      </x:c>
      <x:c r="L70" t="str">
        <x:v>e.empln69@iraqioil.gov.ir</x:v>
      </x:c>
      <x:c r="M70"/>
      <x:c r="N70"/>
      <x:c r="O70"/>
      <x:c r="P70"/>
    </x:row>
    <x:row r="71">
      <x:c r="A71" t="n">
        <x:v>70</x:v>
      </x:c>
      <x:c r="B71" t="str">
        <x:v>Digger</x:v>
      </x:c>
      <x:c r="C71" t="str">
        <x:v>EmpFN70</x:v>
      </x:c>
      <x:c r="D71" t="str">
        <x:v>EmpLN70</x:v>
      </x:c>
      <x:c r="E71" t="str">
        <x:v>M</x:v>
      </x:c>
      <x:c r="F71" t="str">
        <x:v>Germany</x:v>
      </x:c>
      <x:c r="G71" s="18" t="n">
        <x:v>9647625038</x:v>
      </x:c>
      <x:c r="H71" s="18" t="n">
        <x:v>9647605778</x:v>
      </x:c>
      <x:c r="I71" t="str">
        <x:v>Wife70</x:v>
      </x:c>
      <x:c r="J71" t="n">
        <x:v>0</x:v>
      </x:c>
      <x:c r="K71" t="n">
        <x:v>3</x:v>
      </x:c>
      <x:c r="L71" t="str">
        <x:v>e.empln70@iraqioil.gov.ir</x:v>
      </x:c>
      <x:c r="M71"/>
      <x:c r="N71"/>
      <x:c r="O71"/>
      <x:c r="P71"/>
    </x:row>
    <x:row r="72">
      <x:c r="A72" t="n">
        <x:v>71</x:v>
      </x:c>
      <x:c r="B72" t="str">
        <x:v>Technician</x:v>
      </x:c>
      <x:c r="C72" t="str">
        <x:v>EmpFN71</x:v>
      </x:c>
      <x:c r="D72" t="str">
        <x:v>EmpLN71</x:v>
      </x:c>
      <x:c r="E72" t="str">
        <x:v>M</x:v>
      </x:c>
      <x:c r="F72" t="str">
        <x:v>South Korea</x:v>
      </x:c>
      <x:c r="G72" s="18" t="n">
        <x:v>9647248713</x:v>
      </x:c>
      <x:c r="H72" s="18" t="n">
        <x:v>9647360714</x:v>
      </x:c>
      <x:c r="I72" t="str">
        <x:v>Wife71</x:v>
      </x:c>
      <x:c r="J72" t="n">
        <x:v>0</x:v>
      </x:c>
      <x:c r="K72" t="n">
        <x:v>1</x:v>
      </x:c>
      <x:c r="L72" t="str">
        <x:v>e.empln71@iraqioil.gov.ir</x:v>
      </x:c>
      <x:c r="M72"/>
      <x:c r="N72"/>
      <x:c r="O72"/>
      <x:c r="P72"/>
    </x:row>
    <x:row r="73">
      <x:c r="A73" t="n">
        <x:v>72</x:v>
      </x:c>
      <x:c r="B73" t="str">
        <x:v>Digger</x:v>
      </x:c>
      <x:c r="C73" t="str">
        <x:v>EmpFN72</x:v>
      </x:c>
      <x:c r="D73" t="str">
        <x:v>EmpLN72</x:v>
      </x:c>
      <x:c r="E73" t="str">
        <x:v>M</x:v>
      </x:c>
      <x:c r="F73" t="str">
        <x:v>South Korea</x:v>
      </x:c>
      <x:c r="G73" s="18" t="n">
        <x:v>9647685637</x:v>
      </x:c>
      <x:c r="H73" s="18" t="n">
        <x:v>9647481830</x:v>
      </x:c>
      <x:c r="I73" t="str">
        <x:v>Wife72</x:v>
      </x:c>
      <x:c r="J73" t="n">
        <x:v>1</x:v>
      </x:c>
      <x:c r="K73" t="n">
        <x:v>1</x:v>
      </x:c>
      <x:c r="L73" t="str">
        <x:v>e.empln72@iraqioil.gov.ir</x:v>
      </x:c>
      <x:c r="M73"/>
      <x:c r="N73"/>
      <x:c r="O73"/>
      <x:c r="P73"/>
    </x:row>
    <x:row r="74">
      <x:c r="A74" t="n">
        <x:v>73</x:v>
      </x:c>
      <x:c r="B74" t="str">
        <x:v>Admin</x:v>
      </x:c>
      <x:c r="C74" t="str">
        <x:v>EmpFN73</x:v>
      </x:c>
      <x:c r="D74" t="str">
        <x:v>EmpLN73</x:v>
      </x:c>
      <x:c r="E74" t="str">
        <x:v>M</x:v>
      </x:c>
      <x:c r="F74" t="str">
        <x:v>South Korea</x:v>
      </x:c>
      <x:c r="G74" s="18" t="n">
        <x:v>9647743625</x:v>
      </x:c>
      <x:c r="H74" s="18" t="n">
        <x:v>9647732754</x:v>
      </x:c>
      <x:c r="I74" t="str">
        <x:v>Wife73</x:v>
      </x:c>
      <x:c r="J74" t="n">
        <x:v>2</x:v>
      </x:c>
      <x:c r="K74" t="n">
        <x:v>3</x:v>
      </x:c>
      <x:c r="L74" t="str">
        <x:v>e.empln73@iraqioil.gov.ir</x:v>
      </x:c>
      <x:c r="M74"/>
      <x:c r="N74"/>
      <x:c r="O74"/>
      <x:c r="P74"/>
    </x:row>
    <x:row r="75">
      <x:c r="A75" t="n">
        <x:v>74</x:v>
      </x:c>
      <x:c r="B75" t="str">
        <x:v>Admin</x:v>
      </x:c>
      <x:c r="C75" t="str">
        <x:v>EmpFN74</x:v>
      </x:c>
      <x:c r="D75" t="str">
        <x:v>EmpLN74</x:v>
      </x:c>
      <x:c r="E75" t="str">
        <x:v>M</x:v>
      </x:c>
      <x:c r="F75" t="str">
        <x:v>South Korea</x:v>
      </x:c>
      <x:c r="G75" s="18" t="n">
        <x:v>9647219609</x:v>
      </x:c>
      <x:c r="H75" s="18" t="n">
        <x:v>9647807955</x:v>
      </x:c>
      <x:c r="I75" t="str">
        <x:v>Wife74</x:v>
      </x:c>
      <x:c r="J75" t="n">
        <x:v>1</x:v>
      </x:c>
      <x:c r="K75" t="n">
        <x:v>2</x:v>
      </x:c>
      <x:c r="L75" t="str">
        <x:v>e.empln74@iraqioil.gov.ir</x:v>
      </x:c>
      <x:c r="M75"/>
      <x:c r="N75"/>
      <x:c r="O75"/>
      <x:c r="P75"/>
    </x:row>
    <x:row r="76">
      <x:c r="A76" t="n">
        <x:v>75</x:v>
      </x:c>
      <x:c r="B76" t="str">
        <x:v>Technician</x:v>
      </x:c>
      <x:c r="C76" t="str">
        <x:v>EmpFN75</x:v>
      </x:c>
      <x:c r="D76" t="str">
        <x:v>EmpLN75</x:v>
      </x:c>
      <x:c r="E76" t="str">
        <x:v>M</x:v>
      </x:c>
      <x:c r="F76" t="str">
        <x:v>Iran</x:v>
      </x:c>
      <x:c r="G76" s="18" t="n">
        <x:v>9647540910</x:v>
      </x:c>
      <x:c r="H76" s="18" t="n">
        <x:v>9647109216</x:v>
      </x:c>
      <x:c r="I76" t="str">
        <x:v>Wife75</x:v>
      </x:c>
      <x:c r="J76" t="n">
        <x:v>4</x:v>
      </x:c>
      <x:c r="K76" t="n">
        <x:v>1</x:v>
      </x:c>
      <x:c r="L76" t="str">
        <x:v>e.empln75@iraqioil.gov.ir</x:v>
      </x:c>
      <x:c r="M76"/>
      <x:c r="N76"/>
      <x:c r="O76"/>
      <x:c r="P76"/>
    </x:row>
    <x:row r="77">
      <x:c r="A77" t="n">
        <x:v>76</x:v>
      </x:c>
      <x:c r="B77" t="str">
        <x:v>Driver</x:v>
      </x:c>
      <x:c r="C77" t="str">
        <x:v>EmpFN76</x:v>
      </x:c>
      <x:c r="D77" t="str">
        <x:v>EmpLN76</x:v>
      </x:c>
      <x:c r="E77" t="str">
        <x:v>M</x:v>
      </x:c>
      <x:c r="F77" t="str">
        <x:v>Germany</x:v>
      </x:c>
      <x:c r="G77" s="18" t="n">
        <x:v>9647523925</x:v>
      </x:c>
      <x:c r="H77" s="18" t="n">
        <x:v>964789411</x:v>
      </x:c>
      <x:c r="I77" t="str">
        <x:v>Wife76</x:v>
      </x:c>
      <x:c r="J77" t="n">
        <x:v>4</x:v>
      </x:c>
      <x:c r="K77" t="n">
        <x:v>1</x:v>
      </x:c>
      <x:c r="L77" t="str">
        <x:v>e.empln76@iraqioil.gov.ir</x:v>
      </x:c>
      <x:c r="M77"/>
      <x:c r="N77"/>
      <x:c r="O77"/>
      <x:c r="P77"/>
    </x:row>
    <x:row r="78">
      <x:c r="A78" t="n">
        <x:v>77</x:v>
      </x:c>
      <x:c r="B78" t="str">
        <x:v>Digger</x:v>
      </x:c>
      <x:c r="C78" t="str">
        <x:v>EmpFN77</x:v>
      </x:c>
      <x:c r="D78" t="str">
        <x:v>EmpLN77</x:v>
      </x:c>
      <x:c r="E78" t="str">
        <x:v>M</x:v>
      </x:c>
      <x:c r="F78" t="str">
        <x:v>China</x:v>
      </x:c>
      <x:c r="G78" s="18" t="n">
        <x:v>9647507786</x:v>
      </x:c>
      <x:c r="H78" s="18" t="n">
        <x:v>9647787231</x:v>
      </x:c>
      <x:c r="I78" t="str">
        <x:v>Wife77</x:v>
      </x:c>
      <x:c r="J78" t="n">
        <x:v>2</x:v>
      </x:c>
      <x:c r="K78" t="n">
        <x:v>3</x:v>
      </x:c>
      <x:c r="L78" t="str">
        <x:v>e.empln77@iraqioil.gov.ir</x:v>
      </x:c>
      <x:c r="M78"/>
      <x:c r="N78"/>
      <x:c r="O78"/>
      <x:c r="P78"/>
    </x:row>
    <x:row r="79">
      <x:c r="A79" t="n">
        <x:v>78</x:v>
      </x:c>
      <x:c r="B79" t="str">
        <x:v>Technician</x:v>
      </x:c>
      <x:c r="C79" t="str">
        <x:v>EmpFN78</x:v>
      </x:c>
      <x:c r="D79" t="str">
        <x:v>EmpLN78</x:v>
      </x:c>
      <x:c r="E79" t="str">
        <x:v>M</x:v>
      </x:c>
      <x:c r="F79" t="str">
        <x:v>China</x:v>
      </x:c>
      <x:c r="G79" s="18" t="n">
        <x:v>9647472493</x:v>
      </x:c>
      <x:c r="H79" s="18" t="n">
        <x:v>9647587508</x:v>
      </x:c>
      <x:c r="I79" t="str">
        <x:v>Wife78</x:v>
      </x:c>
      <x:c r="J79" t="n">
        <x:v>2</x:v>
      </x:c>
      <x:c r="K79" t="n">
        <x:v>3</x:v>
      </x:c>
      <x:c r="L79" t="str">
        <x:v>e.empln78@iraqioil.gov.ir</x:v>
      </x:c>
      <x:c r="M79"/>
      <x:c r="N79"/>
      <x:c r="O79"/>
      <x:c r="P79"/>
    </x:row>
    <x:row r="80">
      <x:c r="A80" t="n">
        <x:v>79</x:v>
      </x:c>
      <x:c r="B80" t="str">
        <x:v>Driver</x:v>
      </x:c>
      <x:c r="C80" t="str">
        <x:v>EmpFN79</x:v>
      </x:c>
      <x:c r="D80" t="str">
        <x:v>EmpLN79</x:v>
      </x:c>
      <x:c r="E80" t="str">
        <x:v>M</x:v>
      </x:c>
      <x:c r="F80" t="str">
        <x:v>South Korea</x:v>
      </x:c>
      <x:c r="G80" s="18" t="n">
        <x:v>9647266508</x:v>
      </x:c>
      <x:c r="H80" s="18" t="n">
        <x:v>9647440806</x:v>
      </x:c>
      <x:c r="I80" t="str">
        <x:v>Wife79</x:v>
      </x:c>
      <x:c r="J80" t="n">
        <x:v>2</x:v>
      </x:c>
      <x:c r="K80" t="n">
        <x:v>3</x:v>
      </x:c>
      <x:c r="L80" t="str">
        <x:v>e.empln79@iraqioil.gov.ir</x:v>
      </x:c>
      <x:c r="M80"/>
      <x:c r="N80"/>
      <x:c r="O80"/>
      <x:c r="P80"/>
    </x:row>
    <x:row r="81">
      <x:c r="A81" t="n">
        <x:v>80</x:v>
      </x:c>
      <x:c r="B81" t="str">
        <x:v>Technician</x:v>
      </x:c>
      <x:c r="C81" t="str">
        <x:v>EmpFN80</x:v>
      </x:c>
      <x:c r="D81" t="str">
        <x:v>EmpLN80</x:v>
      </x:c>
      <x:c r="E81" t="str">
        <x:v>M</x:v>
      </x:c>
      <x:c r="F81" t="str">
        <x:v>China</x:v>
      </x:c>
      <x:c r="G81" s="18" t="n">
        <x:v>9647813536</x:v>
      </x:c>
      <x:c r="H81" s="18" t="n">
        <x:v>964762858</x:v>
      </x:c>
      <x:c r="I81" t="str">
        <x:v>Wife80</x:v>
      </x:c>
      <x:c r="J81" t="n">
        <x:v>4</x:v>
      </x:c>
      <x:c r="K81" t="n">
        <x:v>1</x:v>
      </x:c>
      <x:c r="L81" t="str">
        <x:v>e.empln80@iraqioil.gov.ir</x:v>
      </x:c>
      <x:c r="M81"/>
      <x:c r="N81"/>
      <x:c r="O81"/>
      <x:c r="P81"/>
    </x:row>
    <x:row r="82">
      <x:c r="A82" t="n">
        <x:v>81</x:v>
      </x:c>
      <x:c r="B82" t="str">
        <x:v>Technician</x:v>
      </x:c>
      <x:c r="C82" t="str">
        <x:v>EmpFN81</x:v>
      </x:c>
      <x:c r="D82" t="str">
        <x:v>EmpLN81</x:v>
      </x:c>
      <x:c r="E82" t="str">
        <x:v>M</x:v>
      </x:c>
      <x:c r="F82" t="str">
        <x:v>Iran</x:v>
      </x:c>
      <x:c r="G82" s="18" t="n">
        <x:v>9647420739</x:v>
      </x:c>
      <x:c r="H82" s="18" t="n">
        <x:v>9647550679</x:v>
      </x:c>
      <x:c r="I82" t="str">
        <x:v>Wife81</x:v>
      </x:c>
      <x:c r="J82" t="n">
        <x:v>2</x:v>
      </x:c>
      <x:c r="K82" t="n">
        <x:v>3</x:v>
      </x:c>
      <x:c r="L82" t="str">
        <x:v>e.empln81@iraqioil.gov.ir</x:v>
      </x:c>
      <x:c r="M82"/>
      <x:c r="N82"/>
      <x:c r="O82"/>
      <x:c r="P82"/>
    </x:row>
    <x:row r="83">
      <x:c r="A83" t="n">
        <x:v>82</x:v>
      </x:c>
      <x:c r="B83" t="str">
        <x:v>Admin</x:v>
      </x:c>
      <x:c r="C83" t="str">
        <x:v>EmpFN82</x:v>
      </x:c>
      <x:c r="D83" t="str">
        <x:v>EmpLN82</x:v>
      </x:c>
      <x:c r="E83" t="str">
        <x:v>M</x:v>
      </x:c>
      <x:c r="F83" t="str">
        <x:v>China</x:v>
      </x:c>
      <x:c r="G83" s="18" t="n">
        <x:v>9647947675</x:v>
      </x:c>
      <x:c r="H83" s="18" t="n">
        <x:v>9647787515</x:v>
      </x:c>
      <x:c r="I83" t="str">
        <x:v>Wife82</x:v>
      </x:c>
      <x:c r="J83" t="n">
        <x:v>0</x:v>
      </x:c>
      <x:c r="K83" t="n">
        <x:v>1</x:v>
      </x:c>
      <x:c r="L83" t="str">
        <x:v>e.empln82@iraqioil.gov.ir</x:v>
      </x:c>
      <x:c r="M83"/>
      <x:c r="N83"/>
      <x:c r="O83"/>
      <x:c r="P83"/>
    </x:row>
    <x:row r="84">
      <x:c r="A84" t="n">
        <x:v>83</x:v>
      </x:c>
      <x:c r="B84" t="str">
        <x:v>Technician</x:v>
      </x:c>
      <x:c r="C84" t="str">
        <x:v>EmpFN83</x:v>
      </x:c>
      <x:c r="D84" t="str">
        <x:v>EmpLN83</x:v>
      </x:c>
      <x:c r="E84" t="str">
        <x:v>M</x:v>
      </x:c>
      <x:c r="F84" t="str">
        <x:v>Iraq</x:v>
      </x:c>
      <x:c r="G84" s="18" t="n">
        <x:v>9647229204</x:v>
      </x:c>
      <x:c r="H84" s="18" t="n">
        <x:v>9647127223</x:v>
      </x:c>
      <x:c r="I84" t="str">
        <x:v>Wife83</x:v>
      </x:c>
      <x:c r="J84" t="n">
        <x:v>4</x:v>
      </x:c>
      <x:c r="K84" t="n">
        <x:v>2</x:v>
      </x:c>
      <x:c r="L84" t="str">
        <x:v>e.empln83@iraqioil.gov.ir</x:v>
      </x:c>
      <x:c r="M84"/>
      <x:c r="N84"/>
      <x:c r="O84"/>
      <x:c r="P84"/>
    </x:row>
    <x:row r="85">
      <x:c r="A85" t="n">
        <x:v>84</x:v>
      </x:c>
      <x:c r="B85" t="str">
        <x:v>Digger</x:v>
      </x:c>
      <x:c r="C85" t="str">
        <x:v>EmpFN84</x:v>
      </x:c>
      <x:c r="D85" t="str">
        <x:v>EmpLN84</x:v>
      </x:c>
      <x:c r="E85" t="str">
        <x:v>M</x:v>
      </x:c>
      <x:c r="F85" t="str">
        <x:v>South Korea</x:v>
      </x:c>
      <x:c r="G85" s="18" t="n">
        <x:v>9647678825</x:v>
      </x:c>
      <x:c r="H85" s="18" t="n">
        <x:v>9647261167</x:v>
      </x:c>
      <x:c r="I85" t="str">
        <x:v>Wife84</x:v>
      </x:c>
      <x:c r="J85" t="n">
        <x:v>1</x:v>
      </x:c>
      <x:c r="K85" t="n">
        <x:v>2</x:v>
      </x:c>
      <x:c r="L85" t="str">
        <x:v>e.empln84@iraqioil.gov.ir</x:v>
      </x:c>
      <x:c r="M85"/>
      <x:c r="N85"/>
      <x:c r="O85"/>
      <x:c r="P85"/>
    </x:row>
    <x:row r="86">
      <x:c r="A86" t="n">
        <x:v>85</x:v>
      </x:c>
      <x:c r="B86" t="str">
        <x:v>Engineer</x:v>
      </x:c>
      <x:c r="C86" t="str">
        <x:v>EmpFN85</x:v>
      </x:c>
      <x:c r="D86" t="str">
        <x:v>EmpLN85</x:v>
      </x:c>
      <x:c r="E86" t="str">
        <x:v>M</x:v>
      </x:c>
      <x:c r="F86" t="str">
        <x:v>China</x:v>
      </x:c>
      <x:c r="G86" s="18" t="n">
        <x:v>9647736592</x:v>
      </x:c>
      <x:c r="H86" s="18" t="n">
        <x:v>9647625768</x:v>
      </x:c>
      <x:c r="I86" t="str">
        <x:v>Wife85</x:v>
      </x:c>
      <x:c r="J86" t="n">
        <x:v>4</x:v>
      </x:c>
      <x:c r="K86" t="n">
        <x:v>3</x:v>
      </x:c>
      <x:c r="L86" t="str">
        <x:v>e.empln85@iraqioil.gov.ir</x:v>
      </x:c>
      <x:c r="M86"/>
      <x:c r="N86"/>
      <x:c r="O86"/>
      <x:c r="P86"/>
    </x:row>
    <x:row r="87">
      <x:c r="A87" t="n">
        <x:v>86</x:v>
      </x:c>
      <x:c r="B87" t="str">
        <x:v>Digger</x:v>
      </x:c>
      <x:c r="C87" t="str">
        <x:v>EmpFN86</x:v>
      </x:c>
      <x:c r="D87" t="str">
        <x:v>EmpLN86</x:v>
      </x:c>
      <x:c r="E87" t="str">
        <x:v>M</x:v>
      </x:c>
      <x:c r="F87" t="str">
        <x:v>Iraq</x:v>
      </x:c>
      <x:c r="G87" s="18" t="n">
        <x:v>9647553708</x:v>
      </x:c>
      <x:c r="H87" s="18" t="n">
        <x:v>9647737080</x:v>
      </x:c>
      <x:c r="I87" t="str">
        <x:v>Wife86</x:v>
      </x:c>
      <x:c r="J87" t="n">
        <x:v>0</x:v>
      </x:c>
      <x:c r="K87" t="n">
        <x:v>3</x:v>
      </x:c>
      <x:c r="L87" t="str">
        <x:v>e.empln86@iraqioil.gov.ir</x:v>
      </x:c>
      <x:c r="M87"/>
      <x:c r="N87"/>
      <x:c r="O87"/>
      <x:c r="P87"/>
    </x:row>
    <x:row r="88">
      <x:c r="A88" t="n">
        <x:v>87</x:v>
      </x:c>
      <x:c r="B88" t="str">
        <x:v>Admin</x:v>
      </x:c>
      <x:c r="C88" t="str">
        <x:v>EmpFN87</x:v>
      </x:c>
      <x:c r="D88" t="str">
        <x:v>EmpLN87</x:v>
      </x:c>
      <x:c r="E88" t="str">
        <x:v>M</x:v>
      </x:c>
      <x:c r="F88" t="str">
        <x:v>South Korea</x:v>
      </x:c>
      <x:c r="G88" s="18" t="n">
        <x:v>9647860418</x:v>
      </x:c>
      <x:c r="H88" s="18" t="n">
        <x:v>9647325738</x:v>
      </x:c>
      <x:c r="I88" t="str">
        <x:v>Wife87</x:v>
      </x:c>
      <x:c r="J88" t="n">
        <x:v>0</x:v>
      </x:c>
      <x:c r="K88" t="n">
        <x:v>1</x:v>
      </x:c>
      <x:c r="L88" t="str">
        <x:v>e.empln87@iraqioil.gov.ir</x:v>
      </x:c>
      <x:c r="M88"/>
      <x:c r="N88"/>
      <x:c r="O88"/>
      <x:c r="P88"/>
    </x:row>
    <x:row r="89">
      <x:c r="A89" t="n">
        <x:v>88</x:v>
      </x:c>
      <x:c r="B89" t="str">
        <x:v>Engineer</x:v>
      </x:c>
      <x:c r="C89" t="str">
        <x:v>EmpFN88</x:v>
      </x:c>
      <x:c r="D89" t="str">
        <x:v>EmpLN88</x:v>
      </x:c>
      <x:c r="E89" t="str">
        <x:v>M</x:v>
      </x:c>
      <x:c r="F89" t="str">
        <x:v>Iraq</x:v>
      </x:c>
      <x:c r="G89" s="18" t="n">
        <x:v>9647565306</x:v>
      </x:c>
      <x:c r="H89" s="18" t="n">
        <x:v>9647803873</x:v>
      </x:c>
      <x:c r="I89" t="str">
        <x:v>Wife88</x:v>
      </x:c>
      <x:c r="J89" t="n">
        <x:v>1</x:v>
      </x:c>
      <x:c r="K89" t="n">
        <x:v>1</x:v>
      </x:c>
      <x:c r="L89" t="str">
        <x:v>e.empln88@iraqioil.gov.ir</x:v>
      </x:c>
      <x:c r="M89"/>
      <x:c r="N89"/>
      <x:c r="O89"/>
      <x:c r="P89"/>
    </x:row>
    <x:row r="90">
      <x:c r="A90" t="n">
        <x:v>89</x:v>
      </x:c>
      <x:c r="B90" t="str">
        <x:v>Engineer</x:v>
      </x:c>
      <x:c r="C90" t="str">
        <x:v>EmpFN89</x:v>
      </x:c>
      <x:c r="D90" t="str">
        <x:v>EmpLN89</x:v>
      </x:c>
      <x:c r="E90" t="str">
        <x:v>M</x:v>
      </x:c>
      <x:c r="F90" t="str">
        <x:v>South Korea</x:v>
      </x:c>
      <x:c r="G90" s="18" t="n">
        <x:v>9647187435</x:v>
      </x:c>
      <x:c r="H90" s="18" t="n">
        <x:v>9647920649</x:v>
      </x:c>
      <x:c r="I90" t="str">
        <x:v>Wife89</x:v>
      </x:c>
      <x:c r="J90" t="n">
        <x:v>0</x:v>
      </x:c>
      <x:c r="K90" t="n">
        <x:v>2</x:v>
      </x:c>
      <x:c r="L90" t="str">
        <x:v>e.empln89@iraqioil.gov.ir</x:v>
      </x:c>
      <x:c r="M90"/>
      <x:c r="N90"/>
      <x:c r="O90"/>
      <x:c r="P90"/>
    </x:row>
    <x:row r="91">
      <x:c r="A91" t="n">
        <x:v>90</x:v>
      </x:c>
      <x:c r="B91" t="str">
        <x:v>Engineer</x:v>
      </x:c>
      <x:c r="C91" t="str">
        <x:v>EmpFN90</x:v>
      </x:c>
      <x:c r="D91" t="str">
        <x:v>EmpLN90</x:v>
      </x:c>
      <x:c r="E91" t="str">
        <x:v>M</x:v>
      </x:c>
      <x:c r="F91" t="str">
        <x:v>Iraq</x:v>
      </x:c>
      <x:c r="G91" s="18" t="n">
        <x:v>9647358706</x:v>
      </x:c>
      <x:c r="H91" s="18" t="n">
        <x:v>9647414682</x:v>
      </x:c>
      <x:c r="I91" t="str">
        <x:v>Wife90</x:v>
      </x:c>
      <x:c r="J91" t="n">
        <x:v>4</x:v>
      </x:c>
      <x:c r="K91" t="n">
        <x:v>3</x:v>
      </x:c>
      <x:c r="L91" t="str">
        <x:v>e.empln90@iraqioil.gov.ir</x:v>
      </x:c>
      <x:c r="M91"/>
      <x:c r="N91"/>
      <x:c r="O91"/>
      <x:c r="P91"/>
    </x:row>
    <x:row r="92">
      <x:c r="A92" t="n">
        <x:v>91</x:v>
      </x:c>
      <x:c r="B92" t="str">
        <x:v>Driver</x:v>
      </x:c>
      <x:c r="C92" t="str">
        <x:v>EmpFN91</x:v>
      </x:c>
      <x:c r="D92" t="str">
        <x:v>EmpLN91</x:v>
      </x:c>
      <x:c r="E92" t="str">
        <x:v>M</x:v>
      </x:c>
      <x:c r="F92" t="str">
        <x:v>China</x:v>
      </x:c>
      <x:c r="G92" s="18" t="n">
        <x:v>9647709481</x:v>
      </x:c>
      <x:c r="H92" s="18" t="n">
        <x:v>9647425229</x:v>
      </x:c>
      <x:c r="I92" t="str">
        <x:v>Wife91</x:v>
      </x:c>
      <x:c r="J92" t="n">
        <x:v>4</x:v>
      </x:c>
      <x:c r="K92" t="n">
        <x:v>3</x:v>
      </x:c>
      <x:c r="L92" t="str">
        <x:v>e.empln91@iraqioil.gov.ir</x:v>
      </x:c>
      <x:c r="M92"/>
      <x:c r="N92"/>
      <x:c r="O92"/>
      <x:c r="P92"/>
    </x:row>
    <x:row r="93">
      <x:c r="A93" t="n">
        <x:v>92</x:v>
      </x:c>
      <x:c r="B93" t="str">
        <x:v>Admin</x:v>
      </x:c>
      <x:c r="C93" t="str">
        <x:v>EmpFN92</x:v>
      </x:c>
      <x:c r="D93" t="str">
        <x:v>EmpLN92</x:v>
      </x:c>
      <x:c r="E93" t="str">
        <x:v>M</x:v>
      </x:c>
      <x:c r="F93" t="str">
        <x:v>South Korea</x:v>
      </x:c>
      <x:c r="G93" s="18" t="n">
        <x:v>9647869954</x:v>
      </x:c>
      <x:c r="H93" s="18" t="n">
        <x:v>9647199972</x:v>
      </x:c>
      <x:c r="I93" t="str">
        <x:v>Wife92</x:v>
      </x:c>
      <x:c r="J93" t="n">
        <x:v>1</x:v>
      </x:c>
      <x:c r="K93" t="n">
        <x:v>2</x:v>
      </x:c>
      <x:c r="L93" t="str">
        <x:v>e.empln92@iraqioil.gov.ir</x:v>
      </x:c>
      <x:c r="M93"/>
      <x:c r="N93"/>
      <x:c r="O93"/>
      <x:c r="P93"/>
    </x:row>
    <x:row r="94">
      <x:c r="A94" t="n">
        <x:v>93</x:v>
      </x:c>
      <x:c r="B94" t="str">
        <x:v>Admin</x:v>
      </x:c>
      <x:c r="C94" t="str">
        <x:v>EmpFN93</x:v>
      </x:c>
      <x:c r="D94" t="str">
        <x:v>EmpLN93</x:v>
      </x:c>
      <x:c r="E94" t="str">
        <x:v>M</x:v>
      </x:c>
      <x:c r="F94" t="str">
        <x:v>Iran</x:v>
      </x:c>
      <x:c r="G94" s="18" t="n">
        <x:v>9647517989</x:v>
      </x:c>
      <x:c r="H94" s="18" t="n">
        <x:v>964734398</x:v>
      </x:c>
      <x:c r="I94" t="str">
        <x:v>Wife93</x:v>
      </x:c>
      <x:c r="J94" t="n">
        <x:v>3</x:v>
      </x:c>
      <x:c r="K94" t="n">
        <x:v>3</x:v>
      </x:c>
      <x:c r="L94" t="str">
        <x:v>e.empln93@iraqioil.gov.ir</x:v>
      </x:c>
      <x:c r="M94"/>
      <x:c r="N94"/>
      <x:c r="O94"/>
      <x:c r="P94"/>
    </x:row>
    <x:row r="95">
      <x:c r="A95" t="n">
        <x:v>94</x:v>
      </x:c>
      <x:c r="B95" t="str">
        <x:v>Engineer</x:v>
      </x:c>
      <x:c r="C95" t="str">
        <x:v>EmpFN94</x:v>
      </x:c>
      <x:c r="D95" t="str">
        <x:v>EmpLN94</x:v>
      </x:c>
      <x:c r="E95" t="str">
        <x:v>M</x:v>
      </x:c>
      <x:c r="F95" t="str">
        <x:v>Germany</x:v>
      </x:c>
      <x:c r="G95" s="18" t="n">
        <x:v>9647968044</x:v>
      </x:c>
      <x:c r="H95" s="18" t="n">
        <x:v>9647514422</x:v>
      </x:c>
      <x:c r="I95" t="str">
        <x:v>Wife94</x:v>
      </x:c>
      <x:c r="J95" t="n">
        <x:v>3</x:v>
      </x:c>
      <x:c r="K95" t="n">
        <x:v>3</x:v>
      </x:c>
      <x:c r="L95" t="str">
        <x:v>e.empln94@iraqioil.gov.ir</x:v>
      </x:c>
      <x:c r="M95"/>
      <x:c r="N95"/>
      <x:c r="O95"/>
      <x:c r="P95"/>
    </x:row>
    <x:row r="96">
      <x:c r="A96" t="n">
        <x:v>95</x:v>
      </x:c>
      <x:c r="B96" t="str">
        <x:v>Digger</x:v>
      </x:c>
      <x:c r="C96" t="str">
        <x:v>EmpFN95</x:v>
      </x:c>
      <x:c r="D96" t="str">
        <x:v>EmpLN95</x:v>
      </x:c>
      <x:c r="E96" t="str">
        <x:v>M</x:v>
      </x:c>
      <x:c r="F96" t="str">
        <x:v>Germany</x:v>
      </x:c>
      <x:c r="G96" s="18" t="n">
        <x:v>9647593841</x:v>
      </x:c>
      <x:c r="H96" s="18" t="n">
        <x:v>9647450262</x:v>
      </x:c>
      <x:c r="I96" t="str">
        <x:v>Wife95</x:v>
      </x:c>
      <x:c r="J96" t="n">
        <x:v>2</x:v>
      </x:c>
      <x:c r="K96" t="n">
        <x:v>3</x:v>
      </x:c>
      <x:c r="L96" t="str">
        <x:v>e.empln95@iraqioil.gov.ir</x:v>
      </x:c>
      <x:c r="M96"/>
      <x:c r="N96"/>
      <x:c r="O96"/>
      <x:c r="P96"/>
    </x:row>
    <x:row r="97">
      <x:c r="A97" t="n">
        <x:v>96</x:v>
      </x:c>
      <x:c r="B97" t="str">
        <x:v>Admin</x:v>
      </x:c>
      <x:c r="C97" t="str">
        <x:v>EmpFN96</x:v>
      </x:c>
      <x:c r="D97" t="str">
        <x:v>EmpLN96</x:v>
      </x:c>
      <x:c r="E97" t="str">
        <x:v>M</x:v>
      </x:c>
      <x:c r="F97" t="str">
        <x:v>Iran</x:v>
      </x:c>
      <x:c r="G97" s="18" t="n">
        <x:v>9647817091</x:v>
      </x:c>
      <x:c r="H97" s="18" t="n">
        <x:v>9647348820</x:v>
      </x:c>
      <x:c r="I97" t="str">
        <x:v>Wife96</x:v>
      </x:c>
      <x:c r="J97" t="n">
        <x:v>1</x:v>
      </x:c>
      <x:c r="K97" t="n">
        <x:v>2</x:v>
      </x:c>
      <x:c r="L97" t="str">
        <x:v>e.empln96@iraqioil.gov.ir</x:v>
      </x:c>
      <x:c r="M97"/>
      <x:c r="N97"/>
      <x:c r="O97"/>
      <x:c r="P97"/>
    </x:row>
    <x:row r="98">
      <x:c r="A98" t="n">
        <x:v>97</x:v>
      </x:c>
      <x:c r="B98" t="str">
        <x:v>Technician</x:v>
      </x:c>
      <x:c r="C98" t="str">
        <x:v>EmpFN97</x:v>
      </x:c>
      <x:c r="D98" t="str">
        <x:v>EmpLN97</x:v>
      </x:c>
      <x:c r="E98" t="str">
        <x:v>M</x:v>
      </x:c>
      <x:c r="F98" t="str">
        <x:v>South Korea</x:v>
      </x:c>
      <x:c r="G98" s="18" t="n">
        <x:v>9647352694</x:v>
      </x:c>
      <x:c r="H98" s="18" t="n">
        <x:v>9647374031</x:v>
      </x:c>
      <x:c r="I98" t="str">
        <x:v>Wife97</x:v>
      </x:c>
      <x:c r="J98" t="n">
        <x:v>4</x:v>
      </x:c>
      <x:c r="K98" t="n">
        <x:v>3</x:v>
      </x:c>
      <x:c r="L98" t="str">
        <x:v>e.empln97@iraqioil.gov.ir</x:v>
      </x:c>
      <x:c r="M98"/>
      <x:c r="N98"/>
      <x:c r="O98"/>
      <x:c r="P98"/>
    </x:row>
    <x:row r="99">
      <x:c r="A99" t="n">
        <x:v>98</x:v>
      </x:c>
      <x:c r="B99" t="str">
        <x:v>Technician</x:v>
      </x:c>
      <x:c r="C99" t="str">
        <x:v>EmpFN98</x:v>
      </x:c>
      <x:c r="D99" t="str">
        <x:v>EmpLN98</x:v>
      </x:c>
      <x:c r="E99" t="str">
        <x:v>M</x:v>
      </x:c>
      <x:c r="F99" t="str">
        <x:v>Germany</x:v>
      </x:c>
      <x:c r="G99" s="18" t="n">
        <x:v>9647539877</x:v>
      </x:c>
      <x:c r="H99" s="18" t="n">
        <x:v>9647316123</x:v>
      </x:c>
      <x:c r="I99" t="str">
        <x:v>Wife98</x:v>
      </x:c>
      <x:c r="J99" t="n">
        <x:v>4</x:v>
      </x:c>
      <x:c r="K99" t="n">
        <x:v>3</x:v>
      </x:c>
      <x:c r="L99" t="str">
        <x:v>e.empln98@iraqioil.gov.ir</x:v>
      </x:c>
      <x:c r="M99"/>
      <x:c r="N99"/>
      <x:c r="O99"/>
      <x:c r="P99"/>
    </x:row>
    <x:row r="100">
      <x:c r="A100" t="n">
        <x:v>99</x:v>
      </x:c>
      <x:c r="B100" t="str">
        <x:v>Technician</x:v>
      </x:c>
      <x:c r="C100" t="str">
        <x:v>EmpFN99</x:v>
      </x:c>
      <x:c r="D100" t="str">
        <x:v>EmpLN99</x:v>
      </x:c>
      <x:c r="E100" t="str">
        <x:v>M</x:v>
      </x:c>
      <x:c r="F100" t="str">
        <x:v>Germany</x:v>
      </x:c>
      <x:c r="G100" s="18" t="n">
        <x:v>9647947772</x:v>
      </x:c>
      <x:c r="H100" s="18" t="n">
        <x:v>9647450515</x:v>
      </x:c>
      <x:c r="I100" t="str">
        <x:v>Wife99</x:v>
      </x:c>
      <x:c r="J100" t="n">
        <x:v>2</x:v>
      </x:c>
      <x:c r="K100" t="n">
        <x:v>3</x:v>
      </x:c>
      <x:c r="L100" t="str">
        <x:v>e.empln99@iraqioil.gov.ir</x:v>
      </x:c>
      <x:c r="M100"/>
      <x:c r="N100"/>
      <x:c r="O100"/>
      <x:c r="P100"/>
    </x:row>
    <x:row r="101">
      <x:c r="A101" t="n">
        <x:v>100</x:v>
      </x:c>
      <x:c r="B101" t="str">
        <x:v>Technician</x:v>
      </x:c>
      <x:c r="C101" t="str">
        <x:v>EmpFN100</x:v>
      </x:c>
      <x:c r="D101" t="str">
        <x:v>EmpLN100</x:v>
      </x:c>
      <x:c r="E101" t="str">
        <x:v>M</x:v>
      </x:c>
      <x:c r="F101" t="str">
        <x:v>Iraq</x:v>
      </x:c>
      <x:c r="G101" s="18" t="n">
        <x:v>9647991010</x:v>
      </x:c>
      <x:c r="H101" s="18" t="n">
        <x:v>9647517611</x:v>
      </x:c>
      <x:c r="I101" t="str">
        <x:v>Wife100</x:v>
      </x:c>
      <x:c r="J101" t="n">
        <x:v>3</x:v>
      </x:c>
      <x:c r="K101" t="n">
        <x:v>2</x:v>
      </x:c>
      <x:c r="L101" t="str">
        <x:v>e.empln100@iraqioil.gov.ir</x:v>
      </x:c>
      <x:c r="M101"/>
      <x:c r="N101"/>
      <x:c r="O101"/>
      <x:c r="P101"/>
    </x:row>
    <x:row r="102">
      <x:c r="A102" t="n">
        <x:v>101</x:v>
      </x:c>
      <x:c r="B102" t="str">
        <x:v>Driver</x:v>
      </x:c>
      <x:c r="C102" t="str">
        <x:v>EmpFN101</x:v>
      </x:c>
      <x:c r="D102" t="str">
        <x:v>EmpLN101</x:v>
      </x:c>
      <x:c r="E102" t="str">
        <x:v>M</x:v>
      </x:c>
      <x:c r="F102" t="str">
        <x:v>China</x:v>
      </x:c>
      <x:c r="G102" s="18" t="n">
        <x:v>964725779</x:v>
      </x:c>
      <x:c r="H102" s="18" t="n">
        <x:v>9647333965</x:v>
      </x:c>
      <x:c r="I102" t="str">
        <x:v>Wife101</x:v>
      </x:c>
      <x:c r="J102" t="n">
        <x:v>2</x:v>
      </x:c>
      <x:c r="K102" t="n">
        <x:v>3</x:v>
      </x:c>
      <x:c r="L102" t="str">
        <x:v>e.empln101@iraqioil.gov.ir</x:v>
      </x:c>
      <x:c r="M102"/>
      <x:c r="N102"/>
      <x:c r="O102"/>
      <x:c r="P102"/>
    </x:row>
    <x:row r="103">
      <x:c r="A103" t="n">
        <x:v>102</x:v>
      </x:c>
      <x:c r="B103" t="str">
        <x:v>Engineer</x:v>
      </x:c>
      <x:c r="C103" t="str">
        <x:v>EmpFN102</x:v>
      </x:c>
      <x:c r="D103" t="str">
        <x:v>EmpLN102</x:v>
      </x:c>
      <x:c r="E103" t="str">
        <x:v>M</x:v>
      </x:c>
      <x:c r="F103" t="str">
        <x:v>China</x:v>
      </x:c>
      <x:c r="G103" s="18" t="n">
        <x:v>9647148457</x:v>
      </x:c>
      <x:c r="H103" s="18" t="n">
        <x:v>96477658</x:v>
      </x:c>
      <x:c r="I103" t="str">
        <x:v>Wife102</x:v>
      </x:c>
      <x:c r="J103" t="n">
        <x:v>2</x:v>
      </x:c>
      <x:c r="K103" t="n">
        <x:v>3</x:v>
      </x:c>
      <x:c r="L103" t="str">
        <x:v>e.empln102@iraqioil.gov.ir</x:v>
      </x:c>
      <x:c r="M103"/>
      <x:c r="N103"/>
      <x:c r="O103"/>
      <x:c r="P103"/>
    </x:row>
    <x:row r="104">
      <x:c r="A104" t="n">
        <x:v>103</x:v>
      </x:c>
      <x:c r="B104" t="str">
        <x:v>Digger</x:v>
      </x:c>
      <x:c r="C104" t="str">
        <x:v>EmpFN103</x:v>
      </x:c>
      <x:c r="D104" t="str">
        <x:v>EmpLN103</x:v>
      </x:c>
      <x:c r="E104" t="str">
        <x:v>M</x:v>
      </x:c>
      <x:c r="F104" t="str">
        <x:v>Iran</x:v>
      </x:c>
      <x:c r="G104" s="18" t="n">
        <x:v>9647320595</x:v>
      </x:c>
      <x:c r="H104" s="18" t="n">
        <x:v>9647137867</x:v>
      </x:c>
      <x:c r="I104" t="str">
        <x:v>Wife103</x:v>
      </x:c>
      <x:c r="J104" t="n">
        <x:v>3</x:v>
      </x:c>
      <x:c r="K104" t="n">
        <x:v>1</x:v>
      </x:c>
      <x:c r="L104" t="str">
        <x:v>e.empln103@iraqioil.gov.ir</x:v>
      </x:c>
      <x:c r="M104"/>
      <x:c r="N104"/>
      <x:c r="O104"/>
      <x:c r="P104"/>
    </x:row>
    <x:row r="105">
      <x:c r="A105" t="n">
        <x:v>104</x:v>
      </x:c>
      <x:c r="B105" t="str">
        <x:v>Digger</x:v>
      </x:c>
      <x:c r="C105" t="str">
        <x:v>EmpFN104</x:v>
      </x:c>
      <x:c r="D105" t="str">
        <x:v>EmpLN104</x:v>
      </x:c>
      <x:c r="E105" t="str">
        <x:v>M</x:v>
      </x:c>
      <x:c r="F105" t="str">
        <x:v>Iraq</x:v>
      </x:c>
      <x:c r="G105" s="18" t="n">
        <x:v>9647276022</x:v>
      </x:c>
      <x:c r="H105" s="18" t="n">
        <x:v>9647325911</x:v>
      </x:c>
      <x:c r="I105" t="str">
        <x:v>Wife104</x:v>
      </x:c>
      <x:c r="J105" t="n">
        <x:v>4</x:v>
      </x:c>
      <x:c r="K105" t="n">
        <x:v>1</x:v>
      </x:c>
      <x:c r="L105" t="str">
        <x:v>e.empln104@iraqioil.gov.ir</x:v>
      </x:c>
      <x:c r="M105"/>
      <x:c r="N105"/>
      <x:c r="O105"/>
      <x:c r="P105"/>
    </x:row>
    <x:row r="106">
      <x:c r="A106" t="n">
        <x:v>105</x:v>
      </x:c>
      <x:c r="B106" t="str">
        <x:v>Driver</x:v>
      </x:c>
      <x:c r="C106" t="str">
        <x:v>EmpFN105</x:v>
      </x:c>
      <x:c r="D106" t="str">
        <x:v>EmpLN105</x:v>
      </x:c>
      <x:c r="E106" t="str">
        <x:v>M</x:v>
      </x:c>
      <x:c r="F106" t="str">
        <x:v>South Korea</x:v>
      </x:c>
      <x:c r="G106" s="18" t="n">
        <x:v>9647925149</x:v>
      </x:c>
      <x:c r="H106" s="18" t="n">
        <x:v>9647731213</x:v>
      </x:c>
      <x:c r="I106" t="str">
        <x:v>Wife105</x:v>
      </x:c>
      <x:c r="J106" t="n">
        <x:v>4</x:v>
      </x:c>
      <x:c r="K106" t="n">
        <x:v>1</x:v>
      </x:c>
      <x:c r="L106" t="str">
        <x:v>e.empln105@iraqioil.gov.ir</x:v>
      </x:c>
      <x:c r="M106"/>
      <x:c r="N106"/>
      <x:c r="O106"/>
      <x:c r="P106"/>
    </x:row>
    <x:row r="107">
      <x:c r="A107" t="n">
        <x:v>106</x:v>
      </x:c>
      <x:c r="B107" t="str">
        <x:v>Admin</x:v>
      </x:c>
      <x:c r="C107" t="str">
        <x:v>EmpFN106</x:v>
      </x:c>
      <x:c r="D107" t="str">
        <x:v>EmpLN106</x:v>
      </x:c>
      <x:c r="E107" t="str">
        <x:v>M</x:v>
      </x:c>
      <x:c r="F107" t="str">
        <x:v>China</x:v>
      </x:c>
      <x:c r="G107" s="18" t="n">
        <x:v>9647776821</x:v>
      </x:c>
      <x:c r="H107" s="18" t="n">
        <x:v>9647688316</x:v>
      </x:c>
      <x:c r="I107" t="str">
        <x:v>Wife106</x:v>
      </x:c>
      <x:c r="J107" t="n">
        <x:v>0</x:v>
      </x:c>
      <x:c r="K107" t="n">
        <x:v>2</x:v>
      </x:c>
      <x:c r="L107" t="str">
        <x:v>e.empln106@iraqioil.gov.ir</x:v>
      </x:c>
      <x:c r="M107"/>
      <x:c r="N107"/>
      <x:c r="O107"/>
      <x:c r="P107"/>
    </x:row>
    <x:row r="108">
      <x:c r="A108" t="n">
        <x:v>107</x:v>
      </x:c>
      <x:c r="B108" t="str">
        <x:v>Engineer</x:v>
      </x:c>
      <x:c r="C108" t="str">
        <x:v>EmpFN107</x:v>
      </x:c>
      <x:c r="D108" t="str">
        <x:v>EmpLN107</x:v>
      </x:c>
      <x:c r="E108" t="str">
        <x:v>M</x:v>
      </x:c>
      <x:c r="F108" t="str">
        <x:v>Iraq</x:v>
      </x:c>
      <x:c r="G108" s="18" t="n">
        <x:v>9647277126</x:v>
      </x:c>
      <x:c r="H108" s="18" t="n">
        <x:v>96473621</x:v>
      </x:c>
      <x:c r="I108" t="str">
        <x:v>Wife107</x:v>
      </x:c>
      <x:c r="J108" t="n">
        <x:v>0</x:v>
      </x:c>
      <x:c r="K108" t="n">
        <x:v>3</x:v>
      </x:c>
      <x:c r="L108" t="str">
        <x:v>e.empln107@iraqioil.gov.ir</x:v>
      </x:c>
      <x:c r="M108"/>
      <x:c r="N108"/>
      <x:c r="O108"/>
      <x:c r="P108"/>
    </x:row>
    <x:row r="109">
      <x:c r="A109" t="n">
        <x:v>108</x:v>
      </x:c>
      <x:c r="B109" t="str">
        <x:v>Engineer</x:v>
      </x:c>
      <x:c r="C109" t="str">
        <x:v>EmpFN108</x:v>
      </x:c>
      <x:c r="D109" t="str">
        <x:v>EmpLN108</x:v>
      </x:c>
      <x:c r="E109" t="str">
        <x:v>M</x:v>
      </x:c>
      <x:c r="F109" t="str">
        <x:v>Germany</x:v>
      </x:c>
      <x:c r="G109" s="18" t="n">
        <x:v>9647339876</x:v>
      </x:c>
      <x:c r="H109" s="18" t="n">
        <x:v>9647198785</x:v>
      </x:c>
      <x:c r="I109" t="str">
        <x:v>Wife108</x:v>
      </x:c>
      <x:c r="J109" t="n">
        <x:v>4</x:v>
      </x:c>
      <x:c r="K109" t="n">
        <x:v>1</x:v>
      </x:c>
      <x:c r="L109" t="str">
        <x:v>e.empln108@iraqioil.gov.ir</x:v>
      </x:c>
      <x:c r="M109"/>
      <x:c r="N109"/>
      <x:c r="O109"/>
      <x:c r="P109"/>
    </x:row>
    <x:row r="110">
      <x:c r="A110" t="n">
        <x:v>109</x:v>
      </x:c>
      <x:c r="B110" t="str">
        <x:v>Admin</x:v>
      </x:c>
      <x:c r="C110" t="str">
        <x:v>EmpFN109</x:v>
      </x:c>
      <x:c r="D110" t="str">
        <x:v>EmpLN109</x:v>
      </x:c>
      <x:c r="E110" t="str">
        <x:v>M</x:v>
      </x:c>
      <x:c r="F110" t="str">
        <x:v>Germany</x:v>
      </x:c>
      <x:c r="G110" s="18" t="n">
        <x:v>9647833235</x:v>
      </x:c>
      <x:c r="H110" s="18" t="n">
        <x:v>9647851319</x:v>
      </x:c>
      <x:c r="I110" t="str">
        <x:v>Wife109</x:v>
      </x:c>
      <x:c r="J110" t="n">
        <x:v>3</x:v>
      </x:c>
      <x:c r="K110" t="n">
        <x:v>1</x:v>
      </x:c>
      <x:c r="L110" t="str">
        <x:v>e.empln109@iraqioil.gov.ir</x:v>
      </x:c>
      <x:c r="M110"/>
      <x:c r="N110"/>
      <x:c r="O110"/>
      <x:c r="P110"/>
    </x:row>
    <x:row r="111">
      <x:c r="A111" t="n">
        <x:v>110</x:v>
      </x:c>
      <x:c r="B111" t="str">
        <x:v>Digger</x:v>
      </x:c>
      <x:c r="C111" t="str">
        <x:v>EmpFN110</x:v>
      </x:c>
      <x:c r="D111" t="str">
        <x:v>EmpLN110</x:v>
      </x:c>
      <x:c r="E111" t="str">
        <x:v>M</x:v>
      </x:c>
      <x:c r="F111" t="str">
        <x:v>South Korea</x:v>
      </x:c>
      <x:c r="G111" s="18" t="n">
        <x:v>9647942702</x:v>
      </x:c>
      <x:c r="H111" s="18" t="n">
        <x:v>9647560601</x:v>
      </x:c>
      <x:c r="I111" t="str">
        <x:v>Wife110</x:v>
      </x:c>
      <x:c r="J111" t="n">
        <x:v>4</x:v>
      </x:c>
      <x:c r="K111" t="n">
        <x:v>1</x:v>
      </x:c>
      <x:c r="L111" t="str">
        <x:v>e.empln110@iraqioil.gov.ir</x:v>
      </x:c>
      <x:c r="M111"/>
      <x:c r="N111"/>
      <x:c r="O111"/>
      <x:c r="P111"/>
    </x:row>
    <x:row r="112">
      <x:c r="A112" t="n">
        <x:v>111</x:v>
      </x:c>
      <x:c r="B112" t="str">
        <x:v>Engineer</x:v>
      </x:c>
      <x:c r="C112" t="str">
        <x:v>EmpFN111</x:v>
      </x:c>
      <x:c r="D112" t="str">
        <x:v>EmpLN111</x:v>
      </x:c>
      <x:c r="E112" t="str">
        <x:v>M</x:v>
      </x:c>
      <x:c r="F112" t="str">
        <x:v>South Korea</x:v>
      </x:c>
      <x:c r="G112" s="18" t="n">
        <x:v>9647962455</x:v>
      </x:c>
      <x:c r="H112" s="18" t="n">
        <x:v>9647965025</x:v>
      </x:c>
      <x:c r="I112" t="str">
        <x:v>Wife111</x:v>
      </x:c>
      <x:c r="J112" t="n">
        <x:v>4</x:v>
      </x:c>
      <x:c r="K112" t="n">
        <x:v>3</x:v>
      </x:c>
      <x:c r="L112" t="str">
        <x:v>e.empln111@iraqioil.gov.ir</x:v>
      </x:c>
      <x:c r="M112"/>
      <x:c r="N112"/>
      <x:c r="O112"/>
      <x:c r="P112"/>
    </x:row>
    <x:row r="113">
      <x:c r="A113" t="n">
        <x:v>112</x:v>
      </x:c>
      <x:c r="B113" t="str">
        <x:v>Engineer</x:v>
      </x:c>
      <x:c r="C113" t="str">
        <x:v>EmpFN112</x:v>
      </x:c>
      <x:c r="D113" t="str">
        <x:v>EmpLN112</x:v>
      </x:c>
      <x:c r="E113" t="str">
        <x:v>M</x:v>
      </x:c>
      <x:c r="F113" t="str">
        <x:v>China</x:v>
      </x:c>
      <x:c r="G113" s="18" t="n">
        <x:v>9647511996</x:v>
      </x:c>
      <x:c r="H113" s="18" t="n">
        <x:v>9647373137</x:v>
      </x:c>
      <x:c r="I113" t="str">
        <x:v>Wife112</x:v>
      </x:c>
      <x:c r="J113" t="n">
        <x:v>1</x:v>
      </x:c>
      <x:c r="K113" t="n">
        <x:v>2</x:v>
      </x:c>
      <x:c r="L113" t="str">
        <x:v>e.empln112@iraqioil.gov.ir</x:v>
      </x:c>
      <x:c r="M113"/>
      <x:c r="N113"/>
      <x:c r="O113"/>
      <x:c r="P113"/>
    </x:row>
    <x:row r="114">
      <x:c r="A114" t="n">
        <x:v>113</x:v>
      </x:c>
      <x:c r="B114" t="str">
        <x:v>Driver</x:v>
      </x:c>
      <x:c r="C114" t="str">
        <x:v>EmpFN113</x:v>
      </x:c>
      <x:c r="D114" t="str">
        <x:v>EmpLN113</x:v>
      </x:c>
      <x:c r="E114" t="str">
        <x:v>M</x:v>
      </x:c>
      <x:c r="F114" t="str">
        <x:v>South Korea</x:v>
      </x:c>
      <x:c r="G114" s="18" t="n">
        <x:v>9647501382</x:v>
      </x:c>
      <x:c r="H114" s="18" t="n">
        <x:v>9647424841</x:v>
      </x:c>
      <x:c r="I114" t="str">
        <x:v>Wife113</x:v>
      </x:c>
      <x:c r="J114" t="n">
        <x:v>3</x:v>
      </x:c>
      <x:c r="K114" t="n">
        <x:v>3</x:v>
      </x:c>
      <x:c r="L114" t="str">
        <x:v>e.empln113@iraqioil.gov.ir</x:v>
      </x:c>
      <x:c r="M114"/>
      <x:c r="N114"/>
      <x:c r="O114"/>
      <x:c r="P114"/>
    </x:row>
    <x:row r="115">
      <x:c r="A115" t="n">
        <x:v>114</x:v>
      </x:c>
      <x:c r="B115" t="str">
        <x:v>Technician</x:v>
      </x:c>
      <x:c r="C115" t="str">
        <x:v>EmpFN114</x:v>
      </x:c>
      <x:c r="D115" t="str">
        <x:v>EmpLN114</x:v>
      </x:c>
      <x:c r="E115" t="str">
        <x:v>M</x:v>
      </x:c>
      <x:c r="F115" t="str">
        <x:v>Iran</x:v>
      </x:c>
      <x:c r="G115" s="18" t="n">
        <x:v>9647525467</x:v>
      </x:c>
      <x:c r="H115" s="18" t="n">
        <x:v>964728330</x:v>
      </x:c>
      <x:c r="I115" t="str">
        <x:v>Wife114</x:v>
      </x:c>
      <x:c r="J115" t="n">
        <x:v>2</x:v>
      </x:c>
      <x:c r="K115" t="n">
        <x:v>3</x:v>
      </x:c>
      <x:c r="L115" t="str">
        <x:v>e.empln114@iraqioil.gov.ir</x:v>
      </x:c>
      <x:c r="M115"/>
      <x:c r="N115"/>
      <x:c r="O115"/>
      <x:c r="P115"/>
    </x:row>
    <x:row r="116">
      <x:c r="A116" t="n">
        <x:v>115</x:v>
      </x:c>
      <x:c r="B116" t="str">
        <x:v>Engineer</x:v>
      </x:c>
      <x:c r="C116" t="str">
        <x:v>EmpFN115</x:v>
      </x:c>
      <x:c r="D116" t="str">
        <x:v>EmpLN115</x:v>
      </x:c>
      <x:c r="E116" t="str">
        <x:v>M</x:v>
      </x:c>
      <x:c r="F116" t="str">
        <x:v>Iran</x:v>
      </x:c>
      <x:c r="G116" s="18" t="n">
        <x:v>9647112436</x:v>
      </x:c>
      <x:c r="H116" s="18" t="n">
        <x:v>964775803</x:v>
      </x:c>
      <x:c r="I116" t="str">
        <x:v>Wife115</x:v>
      </x:c>
      <x:c r="J116" t="n">
        <x:v>0</x:v>
      </x:c>
      <x:c r="K116" t="n">
        <x:v>3</x:v>
      </x:c>
      <x:c r="L116" t="str">
        <x:v>e.empln115@iraqioil.gov.ir</x:v>
      </x:c>
      <x:c r="M116"/>
      <x:c r="N116"/>
      <x:c r="O116"/>
      <x:c r="P116"/>
    </x:row>
    <x:row r="117">
      <x:c r="A117" t="n">
        <x:v>116</x:v>
      </x:c>
      <x:c r="B117" t="str">
        <x:v>Driver</x:v>
      </x:c>
      <x:c r="C117" t="str">
        <x:v>EmpFN116</x:v>
      </x:c>
      <x:c r="D117" t="str">
        <x:v>EmpLN116</x:v>
      </x:c>
      <x:c r="E117" t="str">
        <x:v>M</x:v>
      </x:c>
      <x:c r="F117" t="str">
        <x:v>Iran</x:v>
      </x:c>
      <x:c r="G117" s="18" t="n">
        <x:v>9647454572</x:v>
      </x:c>
      <x:c r="H117" s="18" t="n">
        <x:v>9647395178</x:v>
      </x:c>
      <x:c r="I117" t="str">
        <x:v>Wife116</x:v>
      </x:c>
      <x:c r="J117" t="n">
        <x:v>3</x:v>
      </x:c>
      <x:c r="K117" t="n">
        <x:v>3</x:v>
      </x:c>
      <x:c r="L117" t="str">
        <x:v>e.empln116@iraqioil.gov.ir</x:v>
      </x:c>
      <x:c r="M117"/>
      <x:c r="N117"/>
      <x:c r="O117"/>
      <x:c r="P117"/>
    </x:row>
    <x:row r="118">
      <x:c r="A118" t="n">
        <x:v>117</x:v>
      </x:c>
      <x:c r="B118" t="str">
        <x:v>Admin</x:v>
      </x:c>
      <x:c r="C118" t="str">
        <x:v>EmpFN117</x:v>
      </x:c>
      <x:c r="D118" t="str">
        <x:v>EmpLN117</x:v>
      </x:c>
      <x:c r="E118" t="str">
        <x:v>M</x:v>
      </x:c>
      <x:c r="F118" t="str">
        <x:v>Iraq</x:v>
      </x:c>
      <x:c r="G118" s="18" t="n">
        <x:v>9647752743</x:v>
      </x:c>
      <x:c r="H118" s="18" t="n">
        <x:v>9647539854</x:v>
      </x:c>
      <x:c r="I118" t="str">
        <x:v>Wife117</x:v>
      </x:c>
      <x:c r="J118" t="n">
        <x:v>2</x:v>
      </x:c>
      <x:c r="K118" t="n">
        <x:v>2</x:v>
      </x:c>
      <x:c r="L118" t="str">
        <x:v>e.empln117@iraqioil.gov.ir</x:v>
      </x:c>
      <x:c r="M118"/>
      <x:c r="N118"/>
      <x:c r="O118"/>
      <x:c r="P118"/>
    </x:row>
    <x:row r="119">
      <x:c r="A119" t="n">
        <x:v>118</x:v>
      </x:c>
      <x:c r="B119" t="str">
        <x:v>Driver</x:v>
      </x:c>
      <x:c r="C119" t="str">
        <x:v>EmpFN118</x:v>
      </x:c>
      <x:c r="D119" t="str">
        <x:v>EmpLN118</x:v>
      </x:c>
      <x:c r="E119" t="str">
        <x:v>M</x:v>
      </x:c>
      <x:c r="F119" t="str">
        <x:v>China</x:v>
      </x:c>
      <x:c r="G119" s="18" t="n">
        <x:v>9647527522</x:v>
      </x:c>
      <x:c r="H119" s="18" t="n">
        <x:v>9647831919</x:v>
      </x:c>
      <x:c r="I119" t="str">
        <x:v>Wife118</x:v>
      </x:c>
      <x:c r="J119" t="n">
        <x:v>2</x:v>
      </x:c>
      <x:c r="K119" t="n">
        <x:v>2</x:v>
      </x:c>
      <x:c r="L119" t="str">
        <x:v>e.empln118@iraqioil.gov.ir</x:v>
      </x:c>
      <x:c r="M119"/>
      <x:c r="N119"/>
      <x:c r="O119"/>
      <x:c r="P119"/>
    </x:row>
    <x:row r="120">
      <x:c r="A120" t="n">
        <x:v>119</x:v>
      </x:c>
      <x:c r="B120" t="str">
        <x:v>Technician</x:v>
      </x:c>
      <x:c r="C120" t="str">
        <x:v>EmpFN119</x:v>
      </x:c>
      <x:c r="D120" t="str">
        <x:v>EmpLN119</x:v>
      </x:c>
      <x:c r="E120" t="str">
        <x:v>M</x:v>
      </x:c>
      <x:c r="F120" t="str">
        <x:v>Iran</x:v>
      </x:c>
      <x:c r="G120" s="18" t="n">
        <x:v>9647908814</x:v>
      </x:c>
      <x:c r="H120" s="18" t="n">
        <x:v>9647810165</x:v>
      </x:c>
      <x:c r="I120" t="str">
        <x:v>Wife119</x:v>
      </x:c>
      <x:c r="J120" t="n">
        <x:v>1</x:v>
      </x:c>
      <x:c r="K120" t="n">
        <x:v>1</x:v>
      </x:c>
      <x:c r="L120" t="str">
        <x:v>e.empln119@iraqioil.gov.ir</x:v>
      </x:c>
      <x:c r="M120"/>
      <x:c r="N120"/>
      <x:c r="O120"/>
      <x:c r="P120"/>
    </x:row>
    <x:row r="121">
      <x:c r="A121" t="n">
        <x:v>120</x:v>
      </x:c>
      <x:c r="B121" t="str">
        <x:v>Digger</x:v>
      </x:c>
      <x:c r="C121" t="str">
        <x:v>EmpFN120</x:v>
      </x:c>
      <x:c r="D121" t="str">
        <x:v>EmpLN120</x:v>
      </x:c>
      <x:c r="E121" t="str">
        <x:v>M</x:v>
      </x:c>
      <x:c r="F121" t="str">
        <x:v>China</x:v>
      </x:c>
      <x:c r="G121" s="18" t="n">
        <x:v>9647775224</x:v>
      </x:c>
      <x:c r="H121" s="18" t="n">
        <x:v>9647839916</x:v>
      </x:c>
      <x:c r="I121" t="str">
        <x:v>Wife120</x:v>
      </x:c>
      <x:c r="J121" t="n">
        <x:v>4</x:v>
      </x:c>
      <x:c r="K121" t="n">
        <x:v>3</x:v>
      </x:c>
      <x:c r="L121" t="str">
        <x:v>e.empln120@iraqioil.gov.ir</x:v>
      </x:c>
      <x:c r="M121"/>
      <x:c r="N121"/>
      <x:c r="O121"/>
      <x:c r="P121"/>
    </x:row>
  </x:sheetData>
  <x:pageMargins left="0.7" right="0.7" top="0.75" bottom="0.75" header="0.3" footer="0.3"/>
  <x:tableParts count="1">
    <x:tablePart xmlns:r="http://schemas.openxmlformats.org/officeDocument/2006/relationships" r:id="R367439f76e7044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105.79000091552734" hidden="0" customWidth="1"/>
  </x:cols>
  <x:sheetData>
    <x:row r="1">
      <x:c r="A1" s="108" t="str">
        <x:v>Project Name</x:v>
      </x:c>
      <x:c r="B1" t="str">
        <x:v>Excel Sales Dashboard</x:v>
      </x:c>
    </x:row>
    <x:row r="2">
      <x:c r="A2" s="108" t="str">
        <x:v>Purpose</x:v>
      </x:c>
      <x:c r="B2" t="str">
        <x:v>Analyse sales/export revenue, production output, and workforce data using Microsoft Excel.</x:v>
      </x:c>
    </x:row>
    <x:row r="3">
      <x:c r="A3" s="108" t="str">
        <x:v>Data Sources</x:v>
      </x:c>
      <x:c r="B3" t="str">
        <x:v>weekly_report.xlsx, daily_production.xlsx, employee.xlsx</x:v>
      </x:c>
    </x:row>
    <x:row r="4">
      <x:c r="A4" s="108" t="str">
        <x:v>Main Skills Shown</x:v>
      </x:c>
      <x:c r="B4" t="str">
        <x:v>Excel formulas, tables, charts, dashboards, business reporting, data organisation</x:v>
      </x:c>
    </x:row>
    <x:row r="5">
      <x:c r="A5" s="108" t="str">
        <x:v>GitHub Repo Name</x:v>
      </x:c>
      <x:c r="B5" t="str">
        <x:v>excel-sales-dashboard</x:v>
      </x:c>
    </x:row>
    <x:row r="6">
      <x:c r="A6" s="108" t="str">
        <x:v>CV Line</x:v>
      </x:c>
      <x:c r="B6" t="str">
        <x:v>Designed an interactive Excel sales dashboard using formulas, charts, filters, and summary tables for sales and operational reporting.</x:v>
      </x:c>
    </x:row>
  </x:sheetData>
  <x:pageMargins left="0.7" right="0.7" top="0.75" bottom="0.75" header="0.3" footer="0.3"/>
</x:worksheet>
</file>